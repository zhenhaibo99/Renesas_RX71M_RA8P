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enesas_RX71M_RA8P\doc\"/>
    </mc:Choice>
  </mc:AlternateContent>
  <xr:revisionPtr revIDLastSave="0" documentId="13_ncr:1_{1280B64B-718D-4EA4-A785-11B6A5E551E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工数見積" sheetId="1" r:id="rId1"/>
    <sheet name="変動要因" sheetId="2" r:id="rId2"/>
    <sheet name="前提と確認事項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E8" i="2"/>
  <c r="F7" i="2"/>
  <c r="E7" i="2"/>
  <c r="F6" i="2"/>
  <c r="E6" i="2"/>
  <c r="F5" i="2"/>
  <c r="E5" i="2"/>
  <c r="B24" i="1"/>
  <c r="B23" i="1"/>
  <c r="C20" i="1"/>
  <c r="B20" i="1"/>
  <c r="D19" i="1"/>
  <c r="D18" i="1"/>
  <c r="D17" i="1"/>
  <c r="D16" i="1"/>
  <c r="D15" i="1"/>
  <c r="D14" i="1"/>
  <c r="D13" i="1"/>
  <c r="D12" i="1"/>
  <c r="D11" i="1"/>
  <c r="D10" i="1"/>
  <c r="D20" i="1" s="1"/>
  <c r="E14" i="1" l="1"/>
  <c r="E4" i="2"/>
  <c r="E12" i="1"/>
  <c r="F4" i="2"/>
  <c r="B26" i="1"/>
  <c r="B25" i="1"/>
  <c r="B27" i="1"/>
  <c r="E10" i="1"/>
  <c r="E15" i="1"/>
  <c r="E17" i="1"/>
  <c r="E18" i="1"/>
  <c r="E11" i="1"/>
  <c r="E13" i="1"/>
  <c r="E16" i="1"/>
  <c r="E19" i="1"/>
  <c r="E20" i="1" l="1"/>
</calcChain>
</file>

<file path=xl/sharedStrings.xml><?xml version="1.0" encoding="utf-8"?>
<sst xmlns="http://schemas.openxmlformats.org/spreadsheetml/2006/main" count="94" uniqueCount="81">
  <si>
    <t>組込みソフトウェア開発委託 — 工数・見積の概算</t>
  </si>
  <si>
    <t>精度はおおよそ±30%。初期の打ち合わせ用。青色のセルは入力値で、直接変更できる。</t>
  </si>
  <si>
    <t>パラメータ</t>
  </si>
  <si>
    <t>単価下限（万円／人月）</t>
  </si>
  <si>
    <t>出典：準委任の組込みエンジニア相場についての大まかな印象。自社コストに合わせて調整すること。</t>
  </si>
  <si>
    <t>単価上限（万円／人月）</t>
  </si>
  <si>
    <t>同上（シニアエンジニアはさらに高い）</t>
  </si>
  <si>
    <t>チーム人数下限（人）</t>
  </si>
  <si>
    <t>推奨構成は3〜4名</t>
  </si>
  <si>
    <t>チーム人数上限（人）</t>
  </si>
  <si>
    <t>シニア1名（アーキテクチャ兼PL）＋組込みエンジニア2〜3名</t>
  </si>
  <si>
    <t>作業項目</t>
  </si>
  <si>
    <t>下限（人月）</t>
  </si>
  <si>
    <t>上限（人月）</t>
  </si>
  <si>
    <t>中央値（人月）</t>
  </si>
  <si>
    <t>割合（中央値）</t>
  </si>
  <si>
    <t>備考</t>
  </si>
  <si>
    <t>要求分析・基本設計</t>
  </si>
  <si>
    <t>要求の明確化ミーティング、PoC評価を含む</t>
  </si>
  <si>
    <t>アーキテクチャ、FreeRTOS、BSP、デュアルMCU基盤</t>
  </si>
  <si>
    <t>RX71MとRA8Pのハードウェア抽象層</t>
  </si>
  <si>
    <t>USB／シリアルによるPC通信とプロトコル</t>
  </si>
  <si>
    <t>CAN / CAN FD</t>
  </si>
  <si>
    <t>RX71MはCAN FD非対応。機種分担の確認が必要</t>
  </si>
  <si>
    <t>CANlogの記録と転送</t>
  </si>
  <si>
    <t>「VRAM」の意味、および電源断時の保持要否を確認</t>
  </si>
  <si>
    <t>複数系統シリアル（SPI／UART／LIN）</t>
  </si>
  <si>
    <t>GPIO / AD / DA / PWM</t>
  </si>
  <si>
    <t>Ethernet</t>
  </si>
  <si>
    <t>スループットとリアルタイム性の要件は未定</t>
  </si>
  <si>
    <t>結合テスト・検証</t>
  </si>
  <si>
    <t>顧客先での現地検証は含まない</t>
  </si>
  <si>
    <t>ドキュメント・プロジェクト管理</t>
  </si>
  <si>
    <t>合計</t>
  </si>
  <si>
    <t>金額と期間</t>
  </si>
  <si>
    <t>金額下限（万円）</t>
  </si>
  <si>
    <t>下限工数 × 単価下限</t>
  </si>
  <si>
    <t>金額上限（万円）</t>
  </si>
  <si>
    <t>上限工数 × 単価上限</t>
  </si>
  <si>
    <t>金額中央値（万円）</t>
  </si>
  <si>
    <t>中央値工数 × 平均単価</t>
  </si>
  <si>
    <t>期間下限（月）</t>
  </si>
  <si>
    <t>中央値工数 ÷ チーム人数上限</t>
  </si>
  <si>
    <t>期間上限（月）</t>
  </si>
  <si>
    <t>中央値工数 ÷ チーム人数下限</t>
  </si>
  <si>
    <t>注：各項目の下限／上限の合計が実際の合計。顧客への回答では当面「約8〜13人月」としてよい。</t>
  </si>
  <si>
    <t>工数の変動要因</t>
  </si>
  <si>
    <t>要因</t>
  </si>
  <si>
    <t>単位</t>
  </si>
  <si>
    <t>調整（下限）</t>
  </si>
  <si>
    <t>調整（上限）</t>
  </si>
  <si>
    <t>工数への影響（下限、人月）</t>
  </si>
  <si>
    <t>工数への影響（上限、人月）</t>
  </si>
  <si>
    <t>単一MCUのみ対応</t>
  </si>
  <si>
    <t>%</t>
  </si>
  <si>
    <t>中央値の総工数に対する割合で減少</t>
  </si>
  <si>
    <t>PoCの品質が低く、書き直しが必要</t>
  </si>
  <si>
    <t>人月</t>
  </si>
  <si>
    <t>ログの電源断保持が必要（Flash／SD）</t>
  </si>
  <si>
    <t>PCアプリケーションが必要</t>
  </si>
  <si>
    <t>別途</t>
  </si>
  <si>
    <t>CAN FD／Ethernetに高スループット・リアルタイム要件がある</t>
  </si>
  <si>
    <t>—</t>
  </si>
  <si>
    <t>未定</t>
  </si>
  <si>
    <t>方向は増加。量は性能指標の確定後</t>
  </si>
  <si>
    <t>見積の前提と確認事項</t>
  </si>
  <si>
    <t>区分</t>
  </si>
  <si>
    <t>内容</t>
  </si>
  <si>
    <t>前提</t>
  </si>
  <si>
    <t>PCアプリケーションは範囲外</t>
  </si>
  <si>
    <t>RX71M、RA8Pの両機種に対応。公式ライブラリ（FSP／Smart Configurator）を使用し、ハードウェア抽象層を設ける</t>
  </si>
  <si>
    <t>PoCはある程度再利用できるが、そのまま流用はしない</t>
  </si>
  <si>
    <t>要求分析からテストまで一式。顧客先での現地検証は含まない</t>
  </si>
  <si>
    <t>契約形態は準委任を前提とする。開始時期は2026/11〜</t>
  </si>
  <si>
    <t>確認事項</t>
  </si>
  <si>
    <t>RX71MはCAN FD非対応。両MCUとも全機能をカバーする必要があるか</t>
  </si>
  <si>
    <t>「VRAM」の意味、ログ容量、電源断時の保持要否</t>
  </si>
  <si>
    <t>性能指標：バス負荷、速度、AD/DAの精度とチャネル数、PWM周波数、PCスループット</t>
  </si>
  <si>
    <t>PCアプリケーションが今回の委託範囲に含まれるか</t>
  </si>
  <si>
    <t>PoCのコード品質、帰属、および再利用の程度</t>
  </si>
  <si>
    <t>開発環境（IDE／コンパイラ／デバッガ）、ならびに実機・試験装置の提供方法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</si>
</sst>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\+0.0;\-0.0;0.0"/>
  </numFmts>
  <fonts count="13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i/>
      <sz val="9"/>
      <name val="Noto Sans CJK SC"/>
      <family val="2"/>
    </font>
    <font>
      <i/>
      <sz val="9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Noto Sans CJK SC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0"/>
      <color rgb="FF0000FF"/>
      <name val="Noto Sans CJK SC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 applyAlignment="1"/>
    <xf numFmtId="0" fontId="0" fillId="0" borderId="0" xfId="0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2" borderId="1" xfId="0" applyFont="1" applyFill="1" applyBorder="1" applyAlignment="1"/>
    <xf numFmtId="0" fontId="3" fillId="0" borderId="0" xfId="0" applyFont="1" applyAlignment="1"/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176" fontId="7" fillId="0" borderId="1" xfId="0" applyNumberFormat="1" applyFont="1" applyBorder="1" applyAlignment="1"/>
    <xf numFmtId="176" fontId="6" fillId="0" borderId="1" xfId="0" applyNumberFormat="1" applyFont="1" applyBorder="1" applyAlignment="1"/>
    <xf numFmtId="177" fontId="6" fillId="0" borderId="1" xfId="0" applyNumberFormat="1" applyFont="1" applyBorder="1" applyAlignment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/>
    <xf numFmtId="0" fontId="4" fillId="4" borderId="1" xfId="0" applyFont="1" applyFill="1" applyBorder="1" applyAlignment="1"/>
    <xf numFmtId="176" fontId="9" fillId="4" borderId="1" xfId="0" applyNumberFormat="1" applyFont="1" applyFill="1" applyBorder="1" applyAlignment="1"/>
    <xf numFmtId="177" fontId="9" fillId="4" borderId="1" xfId="0" applyNumberFormat="1" applyFont="1" applyFill="1" applyBorder="1" applyAlignment="1"/>
    <xf numFmtId="0" fontId="9" fillId="4" borderId="1" xfId="0" applyFont="1" applyFill="1" applyBorder="1" applyAlignment="1">
      <alignment vertical="center" wrapText="1"/>
    </xf>
    <xf numFmtId="3" fontId="6" fillId="0" borderId="1" xfId="0" applyNumberFormat="1" applyFont="1" applyBorder="1" applyAlignment="1"/>
    <xf numFmtId="9" fontId="7" fillId="0" borderId="1" xfId="0" applyNumberFormat="1" applyFont="1" applyBorder="1" applyAlignment="1">
      <alignment vertical="center" wrapText="1"/>
    </xf>
    <xf numFmtId="178" fontId="10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pane ySplit="9" topLeftCell="A10" activePane="bottomLeft" state="frozen"/>
      <selection pane="bottomLeft" activeCell="A17" sqref="A17"/>
    </sheetView>
  </sheetViews>
  <sheetFormatPr defaultColWidth="8.6640625" defaultRowHeight="14.4"/>
  <cols>
    <col min="1" max="1" width="52" style="1" customWidth="1"/>
    <col min="2" max="5" width="14" style="1" customWidth="1"/>
    <col min="6" max="6" width="48" style="1" customWidth="1"/>
  </cols>
  <sheetData>
    <row r="1" spans="1:6" ht="17.399999999999999" customHeight="1">
      <c r="A1" s="3" t="s">
        <v>0</v>
      </c>
    </row>
    <row r="2" spans="1:6" ht="15" customHeight="1">
      <c r="A2" s="4" t="s">
        <v>1</v>
      </c>
    </row>
    <row r="3" spans="1:6" ht="15" customHeight="1">
      <c r="A3" s="5" t="s">
        <v>2</v>
      </c>
    </row>
    <row r="4" spans="1:6" ht="15" customHeight="1">
      <c r="A4" s="6" t="s">
        <v>3</v>
      </c>
      <c r="B4" s="7">
        <v>70</v>
      </c>
      <c r="C4" s="4" t="s">
        <v>4</v>
      </c>
    </row>
    <row r="5" spans="1:6" ht="15" customHeight="1">
      <c r="A5" s="6" t="s">
        <v>5</v>
      </c>
      <c r="B5" s="7">
        <v>100</v>
      </c>
      <c r="C5" s="4" t="s">
        <v>6</v>
      </c>
    </row>
    <row r="6" spans="1:6" ht="15" customHeight="1">
      <c r="A6" s="6" t="s">
        <v>7</v>
      </c>
      <c r="B6" s="7">
        <v>3</v>
      </c>
      <c r="C6" s="4" t="s">
        <v>8</v>
      </c>
    </row>
    <row r="7" spans="1:6" ht="15" customHeight="1">
      <c r="A7" s="6" t="s">
        <v>9</v>
      </c>
      <c r="B7" s="7">
        <v>4</v>
      </c>
      <c r="C7" s="8" t="s">
        <v>10</v>
      </c>
    </row>
    <row r="9" spans="1:6" ht="15" customHeight="1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</row>
    <row r="10" spans="1:6" ht="15" customHeight="1">
      <c r="A10" s="10" t="s">
        <v>17</v>
      </c>
      <c r="B10" s="11">
        <v>0.8</v>
      </c>
      <c r="C10" s="11">
        <v>1.2</v>
      </c>
      <c r="D10" s="12">
        <f t="shared" ref="D10:D19" si="0">AVERAGE(B10:C10)</f>
        <v>1</v>
      </c>
      <c r="E10" s="13">
        <f t="shared" ref="E10:E19" si="1">D10/$D$20</f>
        <v>9.2165898617511524E-2</v>
      </c>
      <c r="F10" s="14" t="s">
        <v>18</v>
      </c>
    </row>
    <row r="11" spans="1:6" ht="15" customHeight="1">
      <c r="A11" s="10" t="s">
        <v>19</v>
      </c>
      <c r="B11" s="11">
        <v>0.8</v>
      </c>
      <c r="C11" s="11">
        <v>1.2</v>
      </c>
      <c r="D11" s="12">
        <f t="shared" si="0"/>
        <v>1</v>
      </c>
      <c r="E11" s="13">
        <f t="shared" si="1"/>
        <v>9.2165898617511524E-2</v>
      </c>
      <c r="F11" s="15" t="s">
        <v>20</v>
      </c>
    </row>
    <row r="12" spans="1:6" ht="15" customHeight="1">
      <c r="A12" s="16" t="s">
        <v>21</v>
      </c>
      <c r="B12" s="11">
        <v>0.6</v>
      </c>
      <c r="C12" s="11">
        <v>1</v>
      </c>
      <c r="D12" s="12">
        <f t="shared" si="0"/>
        <v>0.8</v>
      </c>
      <c r="E12" s="13">
        <f t="shared" si="1"/>
        <v>7.3732718894009217E-2</v>
      </c>
      <c r="F12" s="14"/>
    </row>
    <row r="13" spans="1:6" ht="15" customHeight="1">
      <c r="A13" s="16" t="s">
        <v>22</v>
      </c>
      <c r="B13" s="11">
        <v>1</v>
      </c>
      <c r="C13" s="11">
        <v>1.5</v>
      </c>
      <c r="D13" s="12">
        <f t="shared" si="0"/>
        <v>1.25</v>
      </c>
      <c r="E13" s="13">
        <f t="shared" si="1"/>
        <v>0.1152073732718894</v>
      </c>
      <c r="F13" s="15" t="s">
        <v>23</v>
      </c>
    </row>
    <row r="14" spans="1:6" ht="15" customHeight="1">
      <c r="A14" s="16" t="s">
        <v>24</v>
      </c>
      <c r="B14" s="11">
        <v>0.8</v>
      </c>
      <c r="C14" s="11">
        <v>1.2</v>
      </c>
      <c r="D14" s="12">
        <f t="shared" si="0"/>
        <v>1</v>
      </c>
      <c r="E14" s="13">
        <f t="shared" si="1"/>
        <v>9.2165898617511524E-2</v>
      </c>
      <c r="F14" s="15" t="s">
        <v>25</v>
      </c>
    </row>
    <row r="15" spans="1:6" ht="15" customHeight="1">
      <c r="A15" s="10" t="s">
        <v>26</v>
      </c>
      <c r="B15" s="11">
        <v>1</v>
      </c>
      <c r="C15" s="11">
        <v>1.5</v>
      </c>
      <c r="D15" s="12">
        <f t="shared" si="0"/>
        <v>1.25</v>
      </c>
      <c r="E15" s="13">
        <f t="shared" si="1"/>
        <v>0.1152073732718894</v>
      </c>
      <c r="F15" s="14"/>
    </row>
    <row r="16" spans="1:6" ht="15" customHeight="1">
      <c r="A16" s="16" t="s">
        <v>27</v>
      </c>
      <c r="B16" s="11">
        <v>0.6</v>
      </c>
      <c r="C16" s="11">
        <v>0.9</v>
      </c>
      <c r="D16" s="12">
        <f t="shared" si="0"/>
        <v>0.75</v>
      </c>
      <c r="E16" s="13">
        <f t="shared" si="1"/>
        <v>6.9124423963133647E-2</v>
      </c>
      <c r="F16" s="14"/>
    </row>
    <row r="17" spans="1:6" ht="15" customHeight="1">
      <c r="A17" s="16" t="s">
        <v>28</v>
      </c>
      <c r="B17" s="11">
        <v>0.8</v>
      </c>
      <c r="C17" s="11">
        <v>1.5</v>
      </c>
      <c r="D17" s="12">
        <f t="shared" si="0"/>
        <v>1.1499999999999999</v>
      </c>
      <c r="E17" s="13">
        <f t="shared" si="1"/>
        <v>0.10599078341013825</v>
      </c>
      <c r="F17" s="14" t="s">
        <v>29</v>
      </c>
    </row>
    <row r="18" spans="1:6" ht="15" customHeight="1">
      <c r="A18" s="10" t="s">
        <v>30</v>
      </c>
      <c r="B18" s="11">
        <v>1.5</v>
      </c>
      <c r="C18" s="11">
        <v>2.5</v>
      </c>
      <c r="D18" s="12">
        <f t="shared" si="0"/>
        <v>2</v>
      </c>
      <c r="E18" s="13">
        <f t="shared" si="1"/>
        <v>0.18433179723502305</v>
      </c>
      <c r="F18" s="14" t="s">
        <v>31</v>
      </c>
    </row>
    <row r="19" spans="1:6" ht="15" customHeight="1">
      <c r="A19" s="10" t="s">
        <v>32</v>
      </c>
      <c r="B19" s="11">
        <v>0.5</v>
      </c>
      <c r="C19" s="11">
        <v>0.8</v>
      </c>
      <c r="D19" s="12">
        <f t="shared" si="0"/>
        <v>0.65</v>
      </c>
      <c r="E19" s="13">
        <f t="shared" si="1"/>
        <v>5.9907834101382493E-2</v>
      </c>
      <c r="F19" s="14"/>
    </row>
    <row r="20" spans="1:6" ht="15" customHeight="1">
      <c r="A20" s="17" t="s">
        <v>33</v>
      </c>
      <c r="B20" s="18">
        <f>SUM(B10:B19)</f>
        <v>8.3999999999999986</v>
      </c>
      <c r="C20" s="18">
        <f>SUM(C10:C19)</f>
        <v>13.3</v>
      </c>
      <c r="D20" s="18">
        <f>SUM(D10:D19)</f>
        <v>10.85</v>
      </c>
      <c r="E20" s="19">
        <f>SUM(E10:E19)</f>
        <v>0.99999999999999989</v>
      </c>
      <c r="F20" s="20"/>
    </row>
    <row r="22" spans="1:6" ht="15" customHeight="1">
      <c r="A22" s="5" t="s">
        <v>34</v>
      </c>
    </row>
    <row r="23" spans="1:6" ht="15" customHeight="1">
      <c r="A23" s="6" t="s">
        <v>35</v>
      </c>
      <c r="B23" s="21">
        <f>B20*B4</f>
        <v>587.99999999999989</v>
      </c>
      <c r="C23" s="4" t="s">
        <v>36</v>
      </c>
    </row>
    <row r="24" spans="1:6" ht="15" customHeight="1">
      <c r="A24" s="6" t="s">
        <v>37</v>
      </c>
      <c r="B24" s="21">
        <f>C20*B5</f>
        <v>1330</v>
      </c>
      <c r="C24" s="4" t="s">
        <v>38</v>
      </c>
    </row>
    <row r="25" spans="1:6" ht="15" customHeight="1">
      <c r="A25" s="6" t="s">
        <v>39</v>
      </c>
      <c r="B25" s="21">
        <f>D20*AVERAGE(B4:B5)</f>
        <v>922.25</v>
      </c>
      <c r="C25" s="4" t="s">
        <v>40</v>
      </c>
    </row>
    <row r="26" spans="1:6" ht="15" customHeight="1">
      <c r="A26" s="6" t="s">
        <v>41</v>
      </c>
      <c r="B26" s="12">
        <f>D20/B7</f>
        <v>2.7124999999999999</v>
      </c>
      <c r="C26" s="4" t="s">
        <v>42</v>
      </c>
    </row>
    <row r="27" spans="1:6" ht="15" customHeight="1">
      <c r="A27" s="6" t="s">
        <v>43</v>
      </c>
      <c r="B27" s="12">
        <f>D20/B6</f>
        <v>3.6166666666666667</v>
      </c>
      <c r="C27" s="4" t="s">
        <v>44</v>
      </c>
    </row>
    <row r="29" spans="1:6" ht="15" customHeight="1">
      <c r="A29" s="4" t="s">
        <v>45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/>
  </sheetViews>
  <sheetFormatPr defaultColWidth="8.6640625" defaultRowHeight="14.4"/>
  <cols>
    <col min="1" max="1" width="58" style="1" customWidth="1"/>
    <col min="2" max="2" width="8" style="1" customWidth="1"/>
    <col min="3" max="4" width="14" style="1" customWidth="1"/>
    <col min="5" max="5" width="32" style="1" customWidth="1"/>
    <col min="6" max="6" width="32" style="2" customWidth="1"/>
    <col min="7" max="7" width="42" style="1" customWidth="1"/>
  </cols>
  <sheetData>
    <row r="1" spans="1:7" ht="17.399999999999999" customHeight="1">
      <c r="A1" s="3" t="s">
        <v>46</v>
      </c>
    </row>
    <row r="3" spans="1:7" ht="29.85" customHeight="1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16</v>
      </c>
    </row>
    <row r="4" spans="1:7" ht="15" customHeight="1">
      <c r="A4" s="14" t="s">
        <v>53</v>
      </c>
      <c r="B4" s="15" t="s">
        <v>54</v>
      </c>
      <c r="C4" s="22">
        <v>-0.25</v>
      </c>
      <c r="D4" s="22">
        <v>-0.2</v>
      </c>
      <c r="E4" s="23">
        <f>IF(ISNUMBER(C4),IF($B4="%",C4*工数見積!$D$20,C4),"未定")</f>
        <v>-2.7124999999999999</v>
      </c>
      <c r="F4" s="23">
        <f>IF(ISNUMBER(D4),IF($B4="%",D4*工数見積!$D$20,D4),"未定")</f>
        <v>-2.17</v>
      </c>
      <c r="G4" s="14" t="s">
        <v>55</v>
      </c>
    </row>
    <row r="5" spans="1:7" ht="15" customHeight="1">
      <c r="A5" s="15" t="s">
        <v>56</v>
      </c>
      <c r="B5" s="14" t="s">
        <v>57</v>
      </c>
      <c r="C5" s="24">
        <v>1</v>
      </c>
      <c r="D5" s="24">
        <v>3</v>
      </c>
      <c r="E5" s="23">
        <f>IF(ISNUMBER(C5),IF($B5="%",C5*工数見積!$D$20,C5),"未定")</f>
        <v>1</v>
      </c>
      <c r="F5" s="23">
        <f>IF(ISNUMBER(D5),IF($B5="%",D5*工数見積!$D$20,D5),"未定")</f>
        <v>3</v>
      </c>
      <c r="G5" s="14"/>
    </row>
    <row r="6" spans="1:7" ht="15" customHeight="1">
      <c r="A6" s="14" t="s">
        <v>58</v>
      </c>
      <c r="B6" s="14" t="s">
        <v>57</v>
      </c>
      <c r="C6" s="24">
        <v>0.5</v>
      </c>
      <c r="D6" s="24">
        <v>0.5</v>
      </c>
      <c r="E6" s="23">
        <f>IF(ISNUMBER(C6),IF($B6="%",C6*工数見積!$D$20,C6),"未定")</f>
        <v>0.5</v>
      </c>
      <c r="F6" s="23">
        <f>IF(ISNUMBER(D6),IF($B6="%",D6*工数見積!$D$20,D6),"未定")</f>
        <v>0.5</v>
      </c>
      <c r="G6" s="14"/>
    </row>
    <row r="7" spans="1:7" ht="15" customHeight="1">
      <c r="A7" s="14" t="s">
        <v>59</v>
      </c>
      <c r="B7" s="14" t="s">
        <v>57</v>
      </c>
      <c r="C7" s="24">
        <v>2</v>
      </c>
      <c r="D7" s="24">
        <v>4</v>
      </c>
      <c r="E7" s="23">
        <f>IF(ISNUMBER(C7),IF($B7="%",C7*工数見積!$D$20,C7),"未定")</f>
        <v>2</v>
      </c>
      <c r="F7" s="23">
        <f>IF(ISNUMBER(D7),IF($B7="%",D7*工数見積!$D$20,D7),"未定")</f>
        <v>4</v>
      </c>
      <c r="G7" s="14" t="s">
        <v>60</v>
      </c>
    </row>
    <row r="8" spans="1:7" ht="15" customHeight="1">
      <c r="A8" s="15" t="s">
        <v>61</v>
      </c>
      <c r="B8" s="15" t="s">
        <v>62</v>
      </c>
      <c r="C8" s="25" t="s">
        <v>63</v>
      </c>
      <c r="D8" s="25" t="s">
        <v>63</v>
      </c>
      <c r="E8" s="23" t="str">
        <f>IF(ISNUMBER(C8),IF($B8="%",C8*工数見積!$D$20,C8),"未定")</f>
        <v>未定</v>
      </c>
      <c r="F8" s="23" t="str">
        <f>IF(ISNUMBER(D8),IF($B8="%",D8*工数見積!$D$20,D8),"未定")</f>
        <v>未定</v>
      </c>
      <c r="G8" s="14" t="s">
        <v>64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Normal="100" workbookViewId="0">
      <selection activeCell="B12" sqref="B12"/>
    </sheetView>
  </sheetViews>
  <sheetFormatPr defaultColWidth="8.6640625" defaultRowHeight="14.4"/>
  <cols>
    <col min="1" max="1" width="12" style="1" customWidth="1"/>
    <col min="2" max="2" width="129.44140625" style="1" customWidth="1"/>
  </cols>
  <sheetData>
    <row r="1" spans="1:2" ht="17.399999999999999" customHeight="1">
      <c r="A1" s="3" t="s">
        <v>65</v>
      </c>
    </row>
    <row r="3" spans="1:2" ht="15" customHeight="1">
      <c r="A3" s="9" t="s">
        <v>66</v>
      </c>
      <c r="B3" s="9" t="s">
        <v>67</v>
      </c>
    </row>
    <row r="4" spans="1:2" ht="15" customHeight="1">
      <c r="A4" s="14" t="s">
        <v>68</v>
      </c>
      <c r="B4" s="15" t="s">
        <v>69</v>
      </c>
    </row>
    <row r="5" spans="1:2" ht="15" customHeight="1">
      <c r="A5" s="14" t="s">
        <v>68</v>
      </c>
      <c r="B5" s="15" t="s">
        <v>70</v>
      </c>
    </row>
    <row r="6" spans="1:2" ht="15" customHeight="1">
      <c r="A6" s="14" t="s">
        <v>68</v>
      </c>
      <c r="B6" s="15" t="s">
        <v>71</v>
      </c>
    </row>
    <row r="7" spans="1:2" ht="15" customHeight="1">
      <c r="A7" s="14" t="s">
        <v>68</v>
      </c>
      <c r="B7" s="14" t="s">
        <v>72</v>
      </c>
    </row>
    <row r="8" spans="1:2" ht="15" customHeight="1">
      <c r="A8" s="14" t="s">
        <v>68</v>
      </c>
      <c r="B8" s="14" t="s">
        <v>73</v>
      </c>
    </row>
    <row r="9" spans="1:2" ht="15" customHeight="1">
      <c r="A9" s="14" t="s">
        <v>74</v>
      </c>
      <c r="B9" s="15" t="s">
        <v>75</v>
      </c>
    </row>
    <row r="10" spans="1:2" ht="15" customHeight="1">
      <c r="A10" s="14" t="s">
        <v>74</v>
      </c>
      <c r="B10" s="15" t="s">
        <v>76</v>
      </c>
    </row>
    <row r="11" spans="1:2" ht="15" customHeight="1">
      <c r="A11" s="14" t="s">
        <v>74</v>
      </c>
      <c r="B11" s="14" t="s">
        <v>77</v>
      </c>
    </row>
    <row r="12" spans="1:2" ht="15" customHeight="1">
      <c r="A12" s="14" t="s">
        <v>74</v>
      </c>
      <c r="B12" s="15" t="s">
        <v>78</v>
      </c>
    </row>
    <row r="13" spans="1:2" ht="15" customHeight="1">
      <c r="A13" s="14" t="s">
        <v>74</v>
      </c>
      <c r="B13" s="15" t="s">
        <v>79</v>
      </c>
    </row>
    <row r="14" spans="1:2" ht="15" customHeight="1">
      <c r="A14" s="14" t="s">
        <v>74</v>
      </c>
      <c r="B14" s="14" t="s">
        <v>80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工数見積</vt:lpstr>
      <vt:lpstr>変動要因</vt:lpstr>
      <vt:lpstr>前提と確認事項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2026-10-02T08:24:39Z</dcterms:created>
  <dcterms:modified xsi:type="dcterms:W3CDTF">2026-10-03T01:14:48Z</dcterms:modified>
  <dc:language>en-US</dc:language>
</cp:coreProperties>
</file>