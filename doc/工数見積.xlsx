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工数見積" sheetId="1" state="visible" r:id="rId1"/>
    <sheet xmlns:r="http://schemas.openxmlformats.org/officeDocument/2006/relationships" name="変動要因" sheetId="2" state="visible" r:id="rId2"/>
    <sheet xmlns:r="http://schemas.openxmlformats.org/officeDocument/2006/relationships" name="前提と確認事項" sheetId="3" state="visible" r:id="rId3"/>
    <sheet xmlns:r="http://schemas.openxmlformats.org/officeDocument/2006/relationships" name="根拠" sheetId="4" state="visible" r:id="rId4"/>
  </sheets>
  <definedNames>
    <definedName name="_xlnm._FilterDatabase" localSheetId="3" hidden="1">'根拠'!$A$1:$C$15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\+0.0;\-0.0;0.0"/>
  </numFmts>
  <fonts count="15">
    <font>
      <name val="Calibri"/>
      <charset val="1"/>
      <family val="2"/>
      <color theme="1"/>
      <sz val="11"/>
    </font>
    <font>
      <name val="Noto Sans CJK SC"/>
      <family val="2"/>
      <b val="1"/>
      <sz val="14"/>
    </font>
    <font>
      <name val="Noto Sans CJK SC"/>
      <family val="2"/>
      <i val="1"/>
      <sz val="9"/>
    </font>
    <font>
      <name val="Arial"/>
      <family val="2"/>
      <i val="1"/>
      <sz val="9"/>
    </font>
    <font>
      <name val="Noto Sans CJK SC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Noto Sans CJK SC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8000"/>
      <sz val="10"/>
    </font>
    <font>
      <name val="Noto Sans CJK SC"/>
      <family val="2"/>
      <color rgb="FF0000FF"/>
      <sz val="10"/>
    </font>
    <font>
      <name val="宋体"/>
      <charset val="134"/>
      <family val="3"/>
      <sz val="9"/>
    </font>
    <font>
      <name val="Calibri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001F4E79"/>
      </patternFill>
    </fill>
    <fill>
      <patternFill patternType="solid">
        <fgColor rgb="00F7F9FB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CBD9"/>
      </left>
      <right style="thin">
        <color rgb="00BFCBD9"/>
      </right>
      <top style="thin">
        <color rgb="00BFCBD9"/>
      </top>
      <bottom style="thin">
        <color rgb="00BFCB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2" borderId="1" pivotButton="0" quotePrefix="0" xfId="0"/>
    <xf numFmtId="0" fontId="3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7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0" borderId="1" pivotButton="0" quotePrefix="0" xfId="0"/>
    <xf numFmtId="0" fontId="4" fillId="4" borderId="1" pivotButton="0" quotePrefix="0" xfId="0"/>
    <xf numFmtId="164" fontId="9" fillId="4" borderId="1" pivotButton="0" quotePrefix="0" xfId="0"/>
    <xf numFmtId="165" fontId="9" fillId="4" borderId="1" pivotButton="0" quotePrefix="0" xfId="0"/>
    <xf numFmtId="0" fontId="9" fillId="4" borderId="1" applyAlignment="1" pivotButton="0" quotePrefix="0" xfId="0">
      <alignment vertical="center" wrapText="1"/>
    </xf>
    <xf numFmtId="3" fontId="6" fillId="0" borderId="1" pivotButton="0" quotePrefix="0" xfId="0"/>
    <xf numFmtId="9" fontId="7" fillId="0" borderId="1" applyAlignment="1" pivotButton="0" quotePrefix="0" xfId="0">
      <alignment vertical="center" wrapText="1"/>
    </xf>
    <xf numFmtId="166" fontId="10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4" fontId="7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4" fontId="9" fillId="4" borderId="1" pivotButton="0" quotePrefix="0" xfId="0"/>
    <xf numFmtId="165" fontId="9" fillId="4" borderId="1" pivotButton="0" quotePrefix="0" xfId="0"/>
    <xf numFmtId="166" fontId="10" fillId="0" borderId="1" applyAlignment="1" pivotButton="0" quotePrefix="0" xfId="0">
      <alignment vertical="center" wrapText="1"/>
    </xf>
    <xf numFmtId="0" fontId="14" fillId="5" borderId="2" applyAlignment="1" pivotButton="0" quotePrefix="0" xfId="0">
      <alignment vertical="center" wrapText="1"/>
    </xf>
    <xf numFmtId="0" fontId="13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tabSelected="1" zoomScaleNormal="100" workbookViewId="0">
      <pane ySplit="9" topLeftCell="A10" activePane="bottomLeft" state="frozen"/>
      <selection pane="bottomLeft" activeCell="A17" sqref="A17"/>
    </sheetView>
  </sheetViews>
  <sheetFormatPr baseColWidth="8" defaultColWidth="8.6640625" defaultRowHeight="14.4"/>
  <cols>
    <col width="52" customWidth="1" style="2" min="1" max="1"/>
    <col width="14" customWidth="1" style="2" min="2" max="5"/>
    <col width="48" customWidth="1" style="2" min="6" max="6"/>
  </cols>
  <sheetData>
    <row r="1" ht="17.4" customHeight="1" s="2">
      <c r="A1" s="3" t="inlineStr">
        <is>
          <t>組込みソフトウェア開発委託 — 工数・見積の概算</t>
        </is>
      </c>
    </row>
    <row r="2" ht="15" customHeight="1" s="2">
      <c r="A2" s="4" t="inlineStr">
        <is>
          <t>精度はおおよそ±30%。初期の打ち合わせ用。青色のセルは入力値で、直接変更できる。</t>
        </is>
      </c>
    </row>
    <row r="3" ht="15" customHeight="1" s="2">
      <c r="A3" s="5" t="inlineStr">
        <is>
          <t>パラメータ</t>
        </is>
      </c>
    </row>
    <row r="4" ht="15" customHeight="1" s="2">
      <c r="A4" s="6" t="inlineStr">
        <is>
          <t>単価下限（万円／人月）</t>
        </is>
      </c>
      <c r="B4" s="7" t="n">
        <v>70</v>
      </c>
      <c r="C4" s="4" t="inlineStr">
        <is>
          <t>出典：準委任の組込みエンジニア相場についての大まかな印象。自社コストに合わせて調整すること。</t>
        </is>
      </c>
    </row>
    <row r="5" ht="15" customHeight="1" s="2">
      <c r="A5" s="6" t="inlineStr">
        <is>
          <t>単価上限（万円／人月）</t>
        </is>
      </c>
      <c r="B5" s="7" t="n">
        <v>100</v>
      </c>
      <c r="C5" s="4" t="inlineStr">
        <is>
          <t>同上（シニアエンジニアはさらに高い）</t>
        </is>
      </c>
    </row>
    <row r="6" ht="15" customHeight="1" s="2">
      <c r="A6" s="6" t="inlineStr">
        <is>
          <t>チーム人数下限（人）</t>
        </is>
      </c>
      <c r="B6" s="7" t="n">
        <v>3</v>
      </c>
      <c r="C6" s="4" t="inlineStr">
        <is>
          <t>推奨構成は3〜4名</t>
        </is>
      </c>
    </row>
    <row r="7" ht="15" customHeight="1" s="2">
      <c r="A7" s="6" t="inlineStr">
        <is>
          <t>チーム人数上限（人）</t>
        </is>
      </c>
      <c r="B7" s="7" t="n">
        <v>4</v>
      </c>
      <c r="C7" s="8" t="inlineStr">
        <is>
          <t>シニア1名（アーキテクチャ兼PL）＋組込みエンジニア2〜3名</t>
        </is>
      </c>
    </row>
    <row r="9" ht="15" customHeight="1" s="2">
      <c r="A9" s="9" t="inlineStr">
        <is>
          <t>作業項目</t>
        </is>
      </c>
      <c r="B9" s="9" t="inlineStr">
        <is>
          <t>下限（人月）</t>
        </is>
      </c>
      <c r="C9" s="9" t="inlineStr">
        <is>
          <t>上限（人月）</t>
        </is>
      </c>
      <c r="D9" s="9" t="inlineStr">
        <is>
          <t>中央値（人月）</t>
        </is>
      </c>
      <c r="E9" s="9" t="inlineStr">
        <is>
          <t>割合（中央値）</t>
        </is>
      </c>
      <c r="F9" s="9" t="inlineStr">
        <is>
          <t>備考</t>
        </is>
      </c>
    </row>
    <row r="10" ht="15" customHeight="1" s="2">
      <c r="A10" s="10" t="inlineStr">
        <is>
          <t>要求分析・基本設計</t>
        </is>
      </c>
      <c r="B10" s="26" t="n">
        <v>0.8</v>
      </c>
      <c r="C10" s="26" t="n">
        <v>1.2</v>
      </c>
      <c r="D10" s="27">
        <f>AVERAGE(B10:C10)</f>
        <v/>
      </c>
      <c r="E10" s="28">
        <f>D10/$D$20</f>
        <v/>
      </c>
      <c r="F10" s="14" t="inlineStr">
        <is>
          <t>要求の明確化ミーティング、PoC評価を含む</t>
        </is>
      </c>
    </row>
    <row r="11" ht="15" customHeight="1" s="2">
      <c r="A11" s="10" t="inlineStr">
        <is>
          <t>アーキテクチャ、FreeRTOS、BSP、デュアルMCU基盤</t>
        </is>
      </c>
      <c r="B11" s="26" t="n">
        <v>0.8</v>
      </c>
      <c r="C11" s="26" t="n">
        <v>1.2</v>
      </c>
      <c r="D11" s="27">
        <f>AVERAGE(B11:C11)</f>
        <v/>
      </c>
      <c r="E11" s="28">
        <f>D11/$D$20</f>
        <v/>
      </c>
      <c r="F11" s="15" t="inlineStr">
        <is>
          <t>RX71MとRA8Pのハードウェア抽象層</t>
        </is>
      </c>
    </row>
    <row r="12" ht="15" customHeight="1" s="2">
      <c r="A12" s="16" t="inlineStr">
        <is>
          <t>USB／シリアルによるPC通信とプロトコル</t>
        </is>
      </c>
      <c r="B12" s="26" t="n">
        <v>0.6</v>
      </c>
      <c r="C12" s="26" t="n">
        <v>1</v>
      </c>
      <c r="D12" s="27">
        <f>AVERAGE(B12:C12)</f>
        <v/>
      </c>
      <c r="E12" s="28">
        <f>D12/$D$20</f>
        <v/>
      </c>
      <c r="F12" s="14" t="n"/>
    </row>
    <row r="13" ht="15" customHeight="1" s="2">
      <c r="A13" s="16" t="inlineStr">
        <is>
          <t>CAN / CAN FD</t>
        </is>
      </c>
      <c r="B13" s="26" t="n">
        <v>1</v>
      </c>
      <c r="C13" s="26" t="n">
        <v>1.5</v>
      </c>
      <c r="D13" s="27">
        <f>AVERAGE(B13:C13)</f>
        <v/>
      </c>
      <c r="E13" s="28">
        <f>D13/$D$20</f>
        <v/>
      </c>
      <c r="F13" s="15" t="inlineStr">
        <is>
          <t>RX71MはCAN FD非対応。機種分担の確認が必要</t>
        </is>
      </c>
    </row>
    <row r="14" ht="15" customHeight="1" s="2">
      <c r="A14" s="16" t="inlineStr">
        <is>
          <t>CANlogの記録と転送</t>
        </is>
      </c>
      <c r="B14" s="26" t="n">
        <v>0.8</v>
      </c>
      <c r="C14" s="26" t="n">
        <v>1.2</v>
      </c>
      <c r="D14" s="27">
        <f>AVERAGE(B14:C14)</f>
        <v/>
      </c>
      <c r="E14" s="28">
        <f>D14/$D$20</f>
        <v/>
      </c>
      <c r="F14" s="15" t="inlineStr">
        <is>
          <t>「VRAM」の意味、および電源断時の保持要否を確認</t>
        </is>
      </c>
    </row>
    <row r="15" ht="15" customHeight="1" s="2">
      <c r="A15" s="10" t="inlineStr">
        <is>
          <t>複数系統シリアル（SPI／UART／LIN）</t>
        </is>
      </c>
      <c r="B15" s="26" t="n">
        <v>1</v>
      </c>
      <c r="C15" s="26" t="n">
        <v>1.5</v>
      </c>
      <c r="D15" s="27">
        <f>AVERAGE(B15:C15)</f>
        <v/>
      </c>
      <c r="E15" s="28">
        <f>D15/$D$20</f>
        <v/>
      </c>
      <c r="F15" s="14" t="n"/>
    </row>
    <row r="16" ht="15" customHeight="1" s="2">
      <c r="A16" s="16" t="inlineStr">
        <is>
          <t>GPIO / AD / DA / PWM</t>
        </is>
      </c>
      <c r="B16" s="26" t="n">
        <v>0.6</v>
      </c>
      <c r="C16" s="26" t="n">
        <v>0.9</v>
      </c>
      <c r="D16" s="27">
        <f>AVERAGE(B16:C16)</f>
        <v/>
      </c>
      <c r="E16" s="28">
        <f>D16/$D$20</f>
        <v/>
      </c>
      <c r="F16" s="14" t="n"/>
    </row>
    <row r="17" ht="15" customHeight="1" s="2">
      <c r="A17" s="16" t="inlineStr">
        <is>
          <t>Ethernet</t>
        </is>
      </c>
      <c r="B17" s="26" t="n">
        <v>0.8</v>
      </c>
      <c r="C17" s="26" t="n">
        <v>1.5</v>
      </c>
      <c r="D17" s="27">
        <f>AVERAGE(B17:C17)</f>
        <v/>
      </c>
      <c r="E17" s="28">
        <f>D17/$D$20</f>
        <v/>
      </c>
      <c r="F17" s="14" t="inlineStr">
        <is>
          <t>スループットとリアルタイム性の要件は未定</t>
        </is>
      </c>
    </row>
    <row r="18" ht="15" customHeight="1" s="2">
      <c r="A18" s="10" t="inlineStr">
        <is>
          <t>結合テスト・検証</t>
        </is>
      </c>
      <c r="B18" s="26" t="n">
        <v>1.5</v>
      </c>
      <c r="C18" s="26" t="n">
        <v>2.5</v>
      </c>
      <c r="D18" s="27">
        <f>AVERAGE(B18:C18)</f>
        <v/>
      </c>
      <c r="E18" s="28">
        <f>D18/$D$20</f>
        <v/>
      </c>
      <c r="F18" s="14" t="inlineStr">
        <is>
          <t>顧客先での現地検証は含まない</t>
        </is>
      </c>
    </row>
    <row r="19" ht="15" customHeight="1" s="2">
      <c r="A19" s="10" t="inlineStr">
        <is>
          <t>ドキュメント・プロジェクト管理</t>
        </is>
      </c>
      <c r="B19" s="26" t="n">
        <v>0.5</v>
      </c>
      <c r="C19" s="26" t="n">
        <v>0.8</v>
      </c>
      <c r="D19" s="27">
        <f>AVERAGE(B19:C19)</f>
        <v/>
      </c>
      <c r="E19" s="28">
        <f>D19/$D$20</f>
        <v/>
      </c>
      <c r="F19" s="14" t="n"/>
    </row>
    <row r="20" ht="15" customHeight="1" s="2">
      <c r="A20" s="17" t="inlineStr">
        <is>
          <t>合計</t>
        </is>
      </c>
      <c r="B20" s="29">
        <f>SUM(B10:B19)</f>
        <v/>
      </c>
      <c r="C20" s="29">
        <f>SUM(C10:C19)</f>
        <v/>
      </c>
      <c r="D20" s="29">
        <f>SUM(D10:D19)</f>
        <v/>
      </c>
      <c r="E20" s="30">
        <f>SUM(E10:E19)</f>
        <v/>
      </c>
      <c r="F20" s="20" t="n"/>
    </row>
    <row r="22" ht="15" customHeight="1" s="2">
      <c r="A22" s="5" t="inlineStr">
        <is>
          <t>金額と期間</t>
        </is>
      </c>
    </row>
    <row r="23" ht="15" customHeight="1" s="2">
      <c r="A23" s="6" t="inlineStr">
        <is>
          <t>金額下限（万円）</t>
        </is>
      </c>
      <c r="B23" s="21">
        <f>B20*B4</f>
        <v/>
      </c>
      <c r="C23" s="4" t="inlineStr">
        <is>
          <t>下限工数 × 単価下限</t>
        </is>
      </c>
    </row>
    <row r="24" ht="15" customHeight="1" s="2">
      <c r="A24" s="6" t="inlineStr">
        <is>
          <t>金額上限（万円）</t>
        </is>
      </c>
      <c r="B24" s="21">
        <f>C20*B5</f>
        <v/>
      </c>
      <c r="C24" s="4" t="inlineStr">
        <is>
          <t>上限工数 × 単価上限</t>
        </is>
      </c>
    </row>
    <row r="25" ht="15" customHeight="1" s="2">
      <c r="A25" s="6" t="inlineStr">
        <is>
          <t>金額中央値（万円）</t>
        </is>
      </c>
      <c r="B25" s="21">
        <f>D20*AVERAGE(B4:B5)</f>
        <v/>
      </c>
      <c r="C25" s="4" t="inlineStr">
        <is>
          <t>中央値工数 × 平均単価</t>
        </is>
      </c>
    </row>
    <row r="26" ht="15" customHeight="1" s="2">
      <c r="A26" s="6" t="inlineStr">
        <is>
          <t>期間下限（月）</t>
        </is>
      </c>
      <c r="B26" s="27">
        <f>D20/B7</f>
        <v/>
      </c>
      <c r="C26" s="4" t="inlineStr">
        <is>
          <t>中央値工数 ÷ チーム人数上限</t>
        </is>
      </c>
    </row>
    <row r="27" ht="15" customHeight="1" s="2">
      <c r="A27" s="6" t="inlineStr">
        <is>
          <t>期間上限（月）</t>
        </is>
      </c>
      <c r="B27" s="27">
        <f>D20/B6</f>
        <v/>
      </c>
      <c r="C27" s="4" t="inlineStr">
        <is>
          <t>中央値工数 ÷ チーム人数下限</t>
        </is>
      </c>
    </row>
    <row r="29" ht="15" customHeight="1" s="2">
      <c r="A29" s="4" t="inlineStr">
        <is>
          <t>注：各項目の下限／上限の合計が実際の合計。顧客への回答では当面「約8〜13人月」としてよい。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zoomScaleNormal="100" workbookViewId="0">
      <selection activeCell="A1" sqref="A1"/>
    </sheetView>
  </sheetViews>
  <sheetFormatPr baseColWidth="8" defaultColWidth="8.6640625" defaultRowHeight="14.4"/>
  <cols>
    <col width="58" customWidth="1" style="2" min="1" max="1"/>
    <col width="8" customWidth="1" style="2" min="2" max="2"/>
    <col width="14" customWidth="1" style="2" min="3" max="4"/>
    <col width="32" customWidth="1" style="2" min="5" max="5"/>
    <col width="32" customWidth="1" style="2" min="6" max="6"/>
    <col width="42" customWidth="1" style="2" min="7" max="7"/>
  </cols>
  <sheetData>
    <row r="1" ht="17.4" customHeight="1" s="2">
      <c r="A1" s="3" t="inlineStr">
        <is>
          <t>工数の変動要因</t>
        </is>
      </c>
    </row>
    <row r="3" ht="29.85" customHeight="1" s="2">
      <c r="A3" s="9" t="inlineStr">
        <is>
          <t>要因</t>
        </is>
      </c>
      <c r="B3" s="9" t="inlineStr">
        <is>
          <t>単位</t>
        </is>
      </c>
      <c r="C3" s="9" t="inlineStr">
        <is>
          <t>調整（下限）</t>
        </is>
      </c>
      <c r="D3" s="9" t="inlineStr">
        <is>
          <t>調整（上限）</t>
        </is>
      </c>
      <c r="E3" s="9" t="inlineStr">
        <is>
          <t>工数への影響（下限、人月）</t>
        </is>
      </c>
      <c r="F3" s="9" t="inlineStr">
        <is>
          <t>工数への影響（上限、人月）</t>
        </is>
      </c>
      <c r="G3" s="9" t="inlineStr">
        <is>
          <t>備考</t>
        </is>
      </c>
    </row>
    <row r="4" ht="15" customHeight="1" s="2">
      <c r="A4" s="14" t="inlineStr">
        <is>
          <t>単一MCUのみ対応</t>
        </is>
      </c>
      <c r="B4" s="15" t="inlineStr">
        <is>
          <t>%</t>
        </is>
      </c>
      <c r="C4" s="22" t="n">
        <v>-0.25</v>
      </c>
      <c r="D4" s="22" t="n">
        <v>-0.2</v>
      </c>
      <c r="E4" s="31">
        <f>IF(ISNUMBER(C4),IF($B4="%",C4*工数見積!$D$20,C4),"未定")</f>
        <v/>
      </c>
      <c r="F4" s="31">
        <f>IF(ISNUMBER(D4),IF($B4="%",D4*工数見積!$D$20,D4),"未定")</f>
        <v/>
      </c>
      <c r="G4" s="14" t="inlineStr">
        <is>
          <t>中央値の総工数に対する割合で減少</t>
        </is>
      </c>
    </row>
    <row r="5" ht="15" customHeight="1" s="2">
      <c r="A5" s="15" t="inlineStr">
        <is>
          <t>PoCの品質が低く、書き直しが必要</t>
        </is>
      </c>
      <c r="B5" s="14" t="inlineStr">
        <is>
          <t>人月</t>
        </is>
      </c>
      <c r="C5" s="24" t="n">
        <v>1</v>
      </c>
      <c r="D5" s="24" t="n">
        <v>3</v>
      </c>
      <c r="E5" s="31">
        <f>IF(ISNUMBER(C5),IF($B5="%",C5*工数見積!$D$20,C5),"未定")</f>
        <v/>
      </c>
      <c r="F5" s="31">
        <f>IF(ISNUMBER(D5),IF($B5="%",D5*工数見積!$D$20,D5),"未定")</f>
        <v/>
      </c>
      <c r="G5" s="14" t="n"/>
    </row>
    <row r="6" ht="15" customHeight="1" s="2">
      <c r="A6" s="14" t="inlineStr">
        <is>
          <t>ログの電源断保持が必要（Flash／SD）</t>
        </is>
      </c>
      <c r="B6" s="14" t="inlineStr">
        <is>
          <t>人月</t>
        </is>
      </c>
      <c r="C6" s="24" t="n">
        <v>0.5</v>
      </c>
      <c r="D6" s="24" t="n">
        <v>0.5</v>
      </c>
      <c r="E6" s="31">
        <f>IF(ISNUMBER(C6),IF($B6="%",C6*工数見積!$D$20,C6),"未定")</f>
        <v/>
      </c>
      <c r="F6" s="31">
        <f>IF(ISNUMBER(D6),IF($B6="%",D6*工数見積!$D$20,D6),"未定")</f>
        <v/>
      </c>
      <c r="G6" s="14" t="n"/>
    </row>
    <row r="7" ht="15" customHeight="1" s="2">
      <c r="A7" s="14" t="inlineStr">
        <is>
          <t>PCアプリケーションが必要</t>
        </is>
      </c>
      <c r="B7" s="14" t="inlineStr">
        <is>
          <t>人月</t>
        </is>
      </c>
      <c r="C7" s="24" t="n">
        <v>2</v>
      </c>
      <c r="D7" s="24" t="n">
        <v>4</v>
      </c>
      <c r="E7" s="31">
        <f>IF(ISNUMBER(C7),IF($B7="%",C7*工数見積!$D$20,C7),"未定")</f>
        <v/>
      </c>
      <c r="F7" s="31">
        <f>IF(ISNUMBER(D7),IF($B7="%",D7*工数見積!$D$20,D7),"未定")</f>
        <v/>
      </c>
      <c r="G7" s="14" t="inlineStr">
        <is>
          <t>別途</t>
        </is>
      </c>
    </row>
    <row r="8" ht="15" customHeight="1" s="2">
      <c r="A8" s="15" t="inlineStr">
        <is>
          <t>CAN FD／Ethernetに高スループット・リアルタイム要件がある</t>
        </is>
      </c>
      <c r="B8" s="15" t="inlineStr">
        <is>
          <t>—</t>
        </is>
      </c>
      <c r="C8" s="25" t="inlineStr">
        <is>
          <t>未定</t>
        </is>
      </c>
      <c r="D8" s="25" t="inlineStr">
        <is>
          <t>未定</t>
        </is>
      </c>
      <c r="E8" s="31">
        <f>IF(ISNUMBER(C8),IF($B8="%",C8*工数見積!$D$20,C8),"未定")</f>
        <v/>
      </c>
      <c r="F8" s="31">
        <f>IF(ISNUMBER(D8),IF($B8="%",D8*工数見積!$D$20,D8),"未定")</f>
        <v/>
      </c>
      <c r="G8" s="14" t="inlineStr">
        <is>
          <t>方向は増加。量は性能指標の確定後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B12" sqref="B12"/>
    </sheetView>
  </sheetViews>
  <sheetFormatPr baseColWidth="8" defaultColWidth="8.6640625" defaultRowHeight="14.4"/>
  <cols>
    <col width="12" customWidth="1" style="2" min="1" max="1"/>
    <col width="129.44140625" customWidth="1" style="2" min="2" max="2"/>
  </cols>
  <sheetData>
    <row r="1" ht="17.4" customHeight="1" s="2">
      <c r="A1" s="3" t="inlineStr">
        <is>
          <t>見積の前提と確認事項</t>
        </is>
      </c>
    </row>
    <row r="3" ht="15" customHeight="1" s="2">
      <c r="A3" s="9" t="inlineStr">
        <is>
          <t>区分</t>
        </is>
      </c>
      <c r="B3" s="9" t="inlineStr">
        <is>
          <t>内容</t>
        </is>
      </c>
    </row>
    <row r="4" ht="15" customHeight="1" s="2">
      <c r="A4" s="14" t="inlineStr">
        <is>
          <t>前提</t>
        </is>
      </c>
      <c r="B4" s="15" t="inlineStr">
        <is>
          <t>PCアプリケーションは範囲外</t>
        </is>
      </c>
    </row>
    <row r="5" ht="15" customHeight="1" s="2">
      <c r="A5" s="14" t="inlineStr">
        <is>
          <t>前提</t>
        </is>
      </c>
      <c r="B5" s="15" t="inlineStr">
        <is>
          <t>RX71M、RA8Pの両機種に対応。公式ライブラリ（FSP／Smart Configurator）を使用し、ハードウェア抽象層を設ける</t>
        </is>
      </c>
    </row>
    <row r="6" ht="15" customHeight="1" s="2">
      <c r="A6" s="14" t="inlineStr">
        <is>
          <t>前提</t>
        </is>
      </c>
      <c r="B6" s="15" t="inlineStr">
        <is>
          <t>PoCはある程度再利用できるが、そのまま流用はしない</t>
        </is>
      </c>
    </row>
    <row r="7" ht="15" customHeight="1" s="2">
      <c r="A7" s="14" t="inlineStr">
        <is>
          <t>前提</t>
        </is>
      </c>
      <c r="B7" s="14" t="inlineStr">
        <is>
          <t>要求分析からテストまで一式。顧客先での現地検証は含まない</t>
        </is>
      </c>
    </row>
    <row r="8" ht="15" customHeight="1" s="2">
      <c r="A8" s="14" t="inlineStr">
        <is>
          <t>前提</t>
        </is>
      </c>
      <c r="B8" s="14" t="inlineStr">
        <is>
          <t>契約形態は準委任を前提とする。開始時期は2026/11〜</t>
        </is>
      </c>
    </row>
    <row r="9" ht="15" customHeight="1" s="2">
      <c r="A9" s="14" t="inlineStr">
        <is>
          <t>確認事項</t>
        </is>
      </c>
      <c r="B9" s="15" t="inlineStr">
        <is>
          <t>RX71MはCAN FD非対応。両MCUとも全機能をカバーする必要があるか</t>
        </is>
      </c>
    </row>
    <row r="10" ht="15" customHeight="1" s="2">
      <c r="A10" s="14" t="inlineStr">
        <is>
          <t>確認事項</t>
        </is>
      </c>
      <c r="B10" s="15" t="inlineStr">
        <is>
          <t>「VRAM」の意味、ログ容量、電源断時の保持要否</t>
        </is>
      </c>
    </row>
    <row r="11" ht="15" customHeight="1" s="2">
      <c r="A11" s="14" t="inlineStr">
        <is>
          <t>確認事項</t>
        </is>
      </c>
      <c r="B11" s="14" t="inlineStr">
        <is>
          <t>性能指標：バス負荷、速度、AD/DAの精度とチャネル数、PWM周波数、PCスループット</t>
        </is>
      </c>
    </row>
    <row r="12" ht="15" customHeight="1" s="2">
      <c r="A12" s="14" t="inlineStr">
        <is>
          <t>確認事項</t>
        </is>
      </c>
      <c r="B12" s="15" t="inlineStr">
        <is>
          <t>PCアプリケーションが今回の委託範囲に含まれるか</t>
        </is>
      </c>
    </row>
    <row r="13" ht="15" customHeight="1" s="2">
      <c r="A13" s="14" t="inlineStr">
        <is>
          <t>確認事項</t>
        </is>
      </c>
      <c r="B13" s="15" t="inlineStr">
        <is>
          <t>PoCのコード品質、帰属、および再利用の程度</t>
        </is>
      </c>
    </row>
    <row r="14" ht="15" customHeight="1" s="2">
      <c r="A14" s="14" t="inlineStr">
        <is>
          <t>確認事項</t>
        </is>
      </c>
      <c r="B14" s="14" t="inlineStr">
        <is>
          <t>開発環境（IDE／コンパイラ／デバッガ）、ならびに実機・試験装置の提供方法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2" min="1" max="1"/>
    <col width="36" customWidth="1" style="2" min="2" max="2"/>
    <col width="88" customWidth="1" style="2" min="3" max="3"/>
  </cols>
  <sheetData>
    <row r="1" ht="22" customHeight="1" s="2">
      <c r="A1" s="32" t="inlineStr">
        <is>
          <t>項目</t>
        </is>
      </c>
      <c r="B1" s="32" t="inlineStr">
        <is>
          <t>初期の数字</t>
        </is>
      </c>
      <c r="C1" s="32" t="inlineStr">
        <is>
          <t>根拠と、いまの分解との関係</t>
        </is>
      </c>
    </row>
    <row r="2">
      <c r="A2" s="33" t="inlineStr">
        <is>
          <t>全体の幅</t>
        </is>
      </c>
      <c r="B2" s="33" t="inlineStr">
        <is>
          <t>約 8.4〜13.3 人月、中央値約 10.9</t>
        </is>
      </c>
      <c r="C2" s="33" t="inlineStr">
        <is>
          <t>各項目の下限と上限を足した幅。±30% は打ち合わせ上の言い方であり、統計的信頼区間ではない。</t>
        </is>
      </c>
    </row>
    <row r="3">
      <c r="A3" s="34" t="inlineStr">
        <is>
          <t>要求分析・基本設計</t>
        </is>
      </c>
      <c r="B3" s="34" t="inlineStr">
        <is>
          <t>0.8〜1.2 人月</t>
        </is>
      </c>
      <c r="C3" s="34" t="inlineStr">
        <is>
          <t>PoC があるいまは、E0-S1 の 1 人日と E7-S2 の 3 人日へ収まる。新規設計を 1 人月では別計上しない。</t>
        </is>
      </c>
    </row>
    <row r="4">
      <c r="A4" s="33" t="inlineStr">
        <is>
          <t>基盤</t>
        </is>
      </c>
      <c r="B4" s="33" t="inlineStr">
        <is>
          <t>0.8〜1.2 人月</t>
        </is>
      </c>
      <c r="C4" s="33" t="inlineStr">
        <is>
          <t>HAL は PoC にある。残るのは E0-S5 の 5 人日。</t>
        </is>
      </c>
    </row>
    <row r="5">
      <c r="A5" s="34" t="inlineStr">
        <is>
          <t>USB／プロトコル</t>
        </is>
      </c>
      <c r="B5" s="34" t="inlineStr">
        <is>
          <t>0.6〜1.0 人月</t>
        </is>
      </c>
      <c r="C5" s="34" t="inlineStr">
        <is>
          <t>プロトコルは既存。CDC は E5 の 20 人日で、上限 1.0 人月と一致する。</t>
        </is>
      </c>
    </row>
    <row r="6">
      <c r="A6" s="33" t="inlineStr">
        <is>
          <t>CAN</t>
        </is>
      </c>
      <c r="B6" s="33" t="inlineStr">
        <is>
          <t>1.0〜1.5 人月</t>
        </is>
      </c>
      <c r="C6" s="33" t="inlineStr">
        <is>
          <t>E3 の 21 人日。20〜30 人日の下側。</t>
        </is>
      </c>
    </row>
    <row r="7">
      <c r="A7" s="34" t="inlineStr">
        <is>
          <t>CANlog</t>
        </is>
      </c>
      <c r="B7" s="34" t="inlineStr">
        <is>
          <t>0.8〜1.2 人月</t>
        </is>
      </c>
      <c r="C7" s="34" t="inlineStr">
        <is>
          <t>E4 の 14 人日。電源断で残さないため、下限の 16 人日を下回る。</t>
        </is>
      </c>
    </row>
    <row r="8">
      <c r="A8" s="33" t="inlineStr">
        <is>
          <t>シリアル</t>
        </is>
      </c>
      <c r="B8" s="33" t="inlineStr">
        <is>
          <t>1.0〜1.5 人月</t>
        </is>
      </c>
      <c r="C8" s="33" t="inlineStr">
        <is>
          <t>E2 の 16 人日。デモがあるため下限の 20 人日を下回る。</t>
        </is>
      </c>
    </row>
    <row r="9">
      <c r="A9" s="34" t="inlineStr">
        <is>
          <t>GPIO など</t>
        </is>
      </c>
      <c r="B9" s="34" t="inlineStr">
        <is>
          <t>0.6〜0.9 人月</t>
        </is>
      </c>
      <c r="C9" s="34" t="inlineStr">
        <is>
          <t>E1 の 3 人日。機能はあり、PWM の一致だけ。</t>
        </is>
      </c>
    </row>
    <row r="10">
      <c r="A10" s="33" t="inlineStr">
        <is>
          <t>Ethernet</t>
        </is>
      </c>
      <c r="B10" s="33" t="inlineStr">
        <is>
          <t>0.8〜1.5 人月</t>
        </is>
      </c>
      <c r="C10" s="33" t="inlineStr">
        <is>
          <t>E6 の 27 人日。16〜30 人日の上側。</t>
        </is>
      </c>
    </row>
    <row r="11">
      <c r="A11" s="34" t="inlineStr">
        <is>
          <t>結合テスト</t>
        </is>
      </c>
      <c r="B11" s="34" t="inlineStr">
        <is>
          <t>1.5〜2.5 人月</t>
        </is>
      </c>
      <c r="C11" s="34" t="inlineStr">
        <is>
          <t>E0-S3 と E7-S1 で 24 人日。各 story の実機は story に含まれる。</t>
        </is>
      </c>
    </row>
    <row r="12">
      <c r="A12" s="33" t="inlineStr">
        <is>
          <t>管理</t>
        </is>
      </c>
      <c r="B12" s="33" t="inlineStr">
        <is>
          <t>0.5〜0.8 人月</t>
        </is>
      </c>
      <c r="C12" s="33" t="inlineStr">
        <is>
          <t>小さすぎる。いまの見積りは出勤 240 人日（12.0 人月）で、管理を内訳にする。</t>
        </is>
      </c>
    </row>
    <row r="13">
      <c r="A13" s="34" t="inlineStr">
        <is>
          <t>単価 70〜100</t>
        </is>
      </c>
      <c r="B13" s="34" t="inlineStr">
        <is>
          <t>万円／人月</t>
        </is>
      </c>
      <c r="C13" s="34" t="inlineStr">
        <is>
          <t>印象。IPA の公表単価ではない。工数と単価は分ける。</t>
        </is>
      </c>
    </row>
    <row r="14">
      <c r="A14" s="33" t="inlineStr">
        <is>
          <t>PC 範囲外という前提</t>
        </is>
      </c>
      <c r="B14" s="33" t="inlineStr">
        <is>
          <t>初期の前提</t>
        </is>
      </c>
      <c r="C14" s="33" t="inlineStr">
        <is>
          <t>いまの 139 はホストを含む。この前提は現行の分解では使わない。</t>
        </is>
      </c>
    </row>
    <row r="15">
      <c r="A15" s="34" t="inlineStr">
        <is>
          <t>PoC を直接使わないという前提</t>
        </is>
      </c>
      <c r="B15" s="34" t="inlineStr">
        <is>
          <t>初期の前提</t>
        </is>
      </c>
      <c r="C15" s="34" t="inlineStr">
        <is>
          <t>いまは PoC を使い続ける。この前提は現行の分解では使わない。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2026-10-02T08:24:39Z</dcterms:created>
  <dcterms:modified xmlns:dcterms="http://purl.org/dc/terms/" xmlns:xsi="http://www.w3.org/2001/XMLSchema-instance" xsi:type="dcterms:W3CDTF">2026-10-03T06:20:08Z</dcterms:modified>
  <cp:lastModifiedBy>user</cp:lastModifiedBy>
  <cp:revision>0</cp:revision>
</cp:coreProperties>
</file>