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数估算" sheetId="1" state="visible" r:id="rId3"/>
    <sheet name="变动因素" sheetId="2" state="visible" r:id="rId4"/>
    <sheet name="前提与待确认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<sst xmlns="http://schemas.openxmlformats.org/spreadsheetml/2006/main" count="94" uniqueCount="81">
  <si>
    <t xml:space="preserve">嵌入式软件开发委托 — 工数与报价粗估</t>
  </si>
  <si>
    <r>
      <rPr>
        <i val="true"/>
        <sz val="9"/>
        <rFont val="Noto Sans CJK SC"/>
        <family val="2"/>
      </rPr>
      <t xml:space="preserve">精度约 </t>
    </r>
    <r>
      <rPr>
        <i val="true"/>
        <sz val="9"/>
        <rFont val="Arial"/>
        <family val="0"/>
        <charset val="1"/>
      </rPr>
      <t xml:space="preserve">±30%</t>
    </r>
    <r>
      <rPr>
        <i val="true"/>
        <sz val="9"/>
        <rFont val="Noto Sans CJK SC"/>
        <family val="2"/>
      </rPr>
      <t xml:space="preserve">，仅用于初步沟通。蓝色单元格为输入值，可直接修改。</t>
    </r>
  </si>
  <si>
    <t xml:space="preserve">参数</t>
  </si>
  <si>
    <r>
      <rPr>
        <sz val="10"/>
        <rFont val="Noto Sans CJK SC"/>
        <family val="2"/>
      </rPr>
      <t xml:space="preserve">单价下限（万日元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人月）</t>
    </r>
  </si>
  <si>
    <t xml:space="preserve">来源：本人对準委任嵌入式工程师行情的大致印象，请按自身成本调整</t>
  </si>
  <si>
    <r>
      <rPr>
        <sz val="10"/>
        <rFont val="Noto Sans CJK SC"/>
        <family val="2"/>
      </rPr>
      <t xml:space="preserve">单价上限（万日元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人月）</t>
    </r>
  </si>
  <si>
    <t xml:space="preserve">同上（资深工程师更高）</t>
  </si>
  <si>
    <t xml:space="preserve">团队人数下限（人）</t>
  </si>
  <si>
    <r>
      <rPr>
        <i val="true"/>
        <sz val="9"/>
        <rFont val="Noto Sans CJK SC"/>
        <family val="2"/>
      </rPr>
      <t xml:space="preserve">建议配置 </t>
    </r>
    <r>
      <rPr>
        <i val="true"/>
        <sz val="9"/>
        <rFont val="Arial"/>
        <family val="0"/>
        <charset val="1"/>
      </rPr>
      <t xml:space="preserve">3–4 </t>
    </r>
    <r>
      <rPr>
        <i val="true"/>
        <sz val="9"/>
        <rFont val="Noto Sans CJK SC"/>
        <family val="2"/>
      </rPr>
      <t xml:space="preserve">人</t>
    </r>
  </si>
  <si>
    <t xml:space="preserve">团队人数上限（人）</t>
  </si>
  <si>
    <r>
      <rPr>
        <i val="true"/>
        <sz val="9"/>
        <rFont val="Arial"/>
        <family val="0"/>
        <charset val="1"/>
      </rPr>
      <t xml:space="preserve">1 </t>
    </r>
    <r>
      <rPr>
        <i val="true"/>
        <sz val="9"/>
        <rFont val="Noto Sans CJK SC"/>
        <family val="2"/>
      </rPr>
      <t xml:space="preserve">名资深（架构兼 </t>
    </r>
    <r>
      <rPr>
        <i val="true"/>
        <sz val="9"/>
        <rFont val="Arial"/>
        <family val="0"/>
        <charset val="1"/>
      </rPr>
      <t xml:space="preserve">PL</t>
    </r>
    <r>
      <rPr>
        <i val="true"/>
        <sz val="9"/>
        <rFont val="Noto Sans CJK SC"/>
        <family val="2"/>
      </rPr>
      <t xml:space="preserve">）</t>
    </r>
    <r>
      <rPr>
        <i val="true"/>
        <sz val="9"/>
        <rFont val="Arial"/>
        <family val="0"/>
        <charset val="1"/>
      </rPr>
      <t xml:space="preserve">+ 2–3 </t>
    </r>
    <r>
      <rPr>
        <i val="true"/>
        <sz val="9"/>
        <rFont val="Noto Sans CJK SC"/>
        <family val="2"/>
      </rPr>
      <t xml:space="preserve">名嵌入式工程师</t>
    </r>
  </si>
  <si>
    <t xml:space="preserve">工作项</t>
  </si>
  <si>
    <t xml:space="preserve">下限（人月）</t>
  </si>
  <si>
    <t xml:space="preserve">上限（人月）</t>
  </si>
  <si>
    <t xml:space="preserve">中值（人月）</t>
  </si>
  <si>
    <t xml:space="preserve">占比（中值）</t>
  </si>
  <si>
    <t xml:space="preserve">备注</t>
  </si>
  <si>
    <t xml:space="preserve">需求分析、基本设计</t>
  </si>
  <si>
    <r>
      <rPr>
        <sz val="10"/>
        <rFont val="Noto Sans CJK SC"/>
        <family val="2"/>
      </rPr>
      <t xml:space="preserve">含需求澄清会议、</t>
    </r>
    <r>
      <rPr>
        <sz val="10"/>
        <rFont val="Arial"/>
        <family val="0"/>
        <charset val="1"/>
      </rPr>
      <t xml:space="preserve">PoC </t>
    </r>
    <r>
      <rPr>
        <sz val="10"/>
        <rFont val="Noto Sans CJK SC"/>
        <family val="2"/>
      </rPr>
      <t xml:space="preserve">评估</t>
    </r>
  </si>
  <si>
    <r>
      <rPr>
        <sz val="10"/>
        <rFont val="Noto Sans CJK SC"/>
        <family val="2"/>
      </rPr>
      <t xml:space="preserve">架构、</t>
    </r>
    <r>
      <rPr>
        <sz val="10"/>
        <rFont val="Arial"/>
        <family val="0"/>
        <charset val="1"/>
      </rPr>
      <t xml:space="preserve">FreeRTOS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BSP</t>
    </r>
    <r>
      <rPr>
        <sz val="10"/>
        <rFont val="Noto Sans CJK SC"/>
        <family val="2"/>
      </rPr>
      <t xml:space="preserve">、双 </t>
    </r>
    <r>
      <rPr>
        <sz val="10"/>
        <rFont val="Arial"/>
        <family val="0"/>
        <charset val="1"/>
      </rPr>
      <t xml:space="preserve">MCU </t>
    </r>
    <r>
      <rPr>
        <sz val="10"/>
        <rFont val="Noto Sans CJK SC"/>
        <family val="2"/>
      </rPr>
      <t xml:space="preserve">基础</t>
    </r>
  </si>
  <si>
    <r>
      <rPr>
        <sz val="10"/>
        <rFont val="Arial"/>
        <family val="0"/>
        <charset val="1"/>
      </rPr>
      <t xml:space="preserve">RX71M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RA8P </t>
    </r>
    <r>
      <rPr>
        <sz val="10"/>
        <rFont val="Noto Sans CJK SC"/>
        <family val="2"/>
      </rPr>
      <t xml:space="preserve">的硬件抽象层</t>
    </r>
  </si>
  <si>
    <r>
      <rPr>
        <sz val="10"/>
        <rFont val="Arial"/>
        <family val="0"/>
        <charset val="1"/>
      </rPr>
      <t xml:space="preserve">USB / </t>
    </r>
    <r>
      <rPr>
        <sz val="10"/>
        <rFont val="Noto Sans CJK SC"/>
        <family val="2"/>
      </rPr>
      <t xml:space="preserve">串口 </t>
    </r>
    <r>
      <rPr>
        <sz val="10"/>
        <rFont val="Arial"/>
        <family val="0"/>
        <charset val="1"/>
      </rPr>
      <t xml:space="preserve">PC </t>
    </r>
    <r>
      <rPr>
        <sz val="10"/>
        <rFont val="Noto Sans CJK SC"/>
        <family val="2"/>
      </rPr>
      <t xml:space="preserve">通信与协议</t>
    </r>
  </si>
  <si>
    <t xml:space="preserve">CAN / CAN FD</t>
  </si>
  <si>
    <r>
      <rPr>
        <sz val="10"/>
        <rFont val="Arial"/>
        <family val="0"/>
        <charset val="1"/>
      </rPr>
      <t xml:space="preserve">RX71M </t>
    </r>
    <r>
      <rPr>
        <sz val="10"/>
        <rFont val="Noto Sans CJK SC"/>
        <family val="2"/>
      </rPr>
      <t xml:space="preserve">不支持 </t>
    </r>
    <r>
      <rPr>
        <sz val="10"/>
        <rFont val="Arial"/>
        <family val="0"/>
        <charset val="1"/>
      </rPr>
      <t xml:space="preserve">CAN FD</t>
    </r>
    <r>
      <rPr>
        <sz val="10"/>
        <rFont val="Noto Sans CJK SC"/>
        <family val="2"/>
      </rPr>
      <t xml:space="preserve">，需确认机型分工</t>
    </r>
  </si>
  <si>
    <r>
      <rPr>
        <sz val="10"/>
        <rFont val="Arial"/>
        <family val="0"/>
        <charset val="1"/>
      </rPr>
      <t xml:space="preserve">CANlog </t>
    </r>
    <r>
      <rPr>
        <sz val="10"/>
        <rFont val="Noto Sans CJK SC"/>
        <family val="2"/>
      </rPr>
      <t xml:space="preserve">记录与传输</t>
    </r>
  </si>
  <si>
    <r>
      <rPr>
        <sz val="10"/>
        <rFont val="Arial"/>
        <family val="0"/>
        <charset val="1"/>
      </rPr>
      <t xml:space="preserve">“VRAM”</t>
    </r>
    <r>
      <rPr>
        <sz val="10"/>
        <rFont val="Noto Sans CJK SC"/>
        <family val="2"/>
      </rPr>
      <t xml:space="preserve">含义及断电保持需确认</t>
    </r>
  </si>
  <si>
    <r>
      <rPr>
        <sz val="10"/>
        <rFont val="Noto Sans CJK SC"/>
        <family val="2"/>
      </rPr>
      <t xml:space="preserve">多路 </t>
    </r>
    <r>
      <rPr>
        <sz val="10"/>
        <rFont val="Arial"/>
        <family val="0"/>
        <charset val="1"/>
      </rPr>
      <t xml:space="preserve">Serial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SPI / UART / LIN</t>
    </r>
    <r>
      <rPr>
        <sz val="10"/>
        <rFont val="Noto Sans CJK SC"/>
        <family val="2"/>
      </rPr>
      <t xml:space="preserve">）</t>
    </r>
  </si>
  <si>
    <t xml:space="preserve">GPIO / AD / DA / PWM</t>
  </si>
  <si>
    <t xml:space="preserve">Ethernet</t>
  </si>
  <si>
    <t xml:space="preserve">吞吐与实时性要求未知</t>
  </si>
  <si>
    <t xml:space="preserve">集成测试、验证</t>
  </si>
  <si>
    <t xml:space="preserve">不含客户现场验证</t>
  </si>
  <si>
    <t xml:space="preserve">文档、项目管理</t>
  </si>
  <si>
    <t xml:space="preserve">合计</t>
  </si>
  <si>
    <t xml:space="preserve">金额与周期</t>
  </si>
  <si>
    <t xml:space="preserve">金额下限（万日元）</t>
  </si>
  <si>
    <r>
      <rPr>
        <i val="true"/>
        <sz val="9"/>
        <rFont val="Noto Sans CJK SC"/>
        <family val="2"/>
      </rPr>
      <t xml:space="preserve">下限工数 </t>
    </r>
    <r>
      <rPr>
        <i val="true"/>
        <sz val="9"/>
        <rFont val="Arial"/>
        <family val="0"/>
        <charset val="1"/>
      </rPr>
      <t xml:space="preserve">× </t>
    </r>
    <r>
      <rPr>
        <i val="true"/>
        <sz val="9"/>
        <rFont val="Noto Sans CJK SC"/>
        <family val="2"/>
      </rPr>
      <t xml:space="preserve">单价下限</t>
    </r>
  </si>
  <si>
    <t xml:space="preserve">金额上限（万日元）</t>
  </si>
  <si>
    <r>
      <rPr>
        <i val="true"/>
        <sz val="9"/>
        <rFont val="Noto Sans CJK SC"/>
        <family val="2"/>
      </rPr>
      <t xml:space="preserve">上限工数 </t>
    </r>
    <r>
      <rPr>
        <i val="true"/>
        <sz val="9"/>
        <rFont val="Arial"/>
        <family val="0"/>
        <charset val="1"/>
      </rPr>
      <t xml:space="preserve">× </t>
    </r>
    <r>
      <rPr>
        <i val="true"/>
        <sz val="9"/>
        <rFont val="Noto Sans CJK SC"/>
        <family val="2"/>
      </rPr>
      <t xml:space="preserve">单价上限</t>
    </r>
  </si>
  <si>
    <t xml:space="preserve">金额中值（万日元）</t>
  </si>
  <si>
    <r>
      <rPr>
        <i val="true"/>
        <sz val="9"/>
        <rFont val="Noto Sans CJK SC"/>
        <family val="2"/>
      </rPr>
      <t xml:space="preserve">中值工数 </t>
    </r>
    <r>
      <rPr>
        <i val="true"/>
        <sz val="9"/>
        <rFont val="Arial"/>
        <family val="0"/>
        <charset val="1"/>
      </rPr>
      <t xml:space="preserve">× </t>
    </r>
    <r>
      <rPr>
        <i val="true"/>
        <sz val="9"/>
        <rFont val="Noto Sans CJK SC"/>
        <family val="2"/>
      </rPr>
      <t xml:space="preserve">平均单价</t>
    </r>
  </si>
  <si>
    <t xml:space="preserve">周期下限（月）</t>
  </si>
  <si>
    <r>
      <rPr>
        <i val="true"/>
        <sz val="9"/>
        <rFont val="Noto Sans CJK SC"/>
        <family val="2"/>
      </rPr>
      <t xml:space="preserve">中值工数 </t>
    </r>
    <r>
      <rPr>
        <i val="true"/>
        <sz val="9"/>
        <rFont val="Arial"/>
        <family val="0"/>
        <charset val="1"/>
      </rPr>
      <t xml:space="preserve">÷ </t>
    </r>
    <r>
      <rPr>
        <i val="true"/>
        <sz val="9"/>
        <rFont val="Noto Sans CJK SC"/>
        <family val="2"/>
      </rPr>
      <t xml:space="preserve">团队人数上限</t>
    </r>
  </si>
  <si>
    <t xml:space="preserve">周期上限（月）</t>
  </si>
  <si>
    <r>
      <rPr>
        <i val="true"/>
        <sz val="9"/>
        <rFont val="Noto Sans CJK SC"/>
        <family val="2"/>
      </rPr>
      <t xml:space="preserve">中值工数 </t>
    </r>
    <r>
      <rPr>
        <i val="true"/>
        <sz val="9"/>
        <rFont val="Arial"/>
        <family val="0"/>
        <charset val="1"/>
      </rPr>
      <t xml:space="preserve">÷ </t>
    </r>
    <r>
      <rPr>
        <i val="true"/>
        <sz val="9"/>
        <rFont val="Noto Sans CJK SC"/>
        <family val="2"/>
      </rPr>
      <t xml:space="preserve">团队人数下限</t>
    </r>
  </si>
  <si>
    <r>
      <rPr>
        <i val="true"/>
        <sz val="9"/>
        <rFont val="Noto Sans CJK SC"/>
        <family val="2"/>
      </rPr>
      <t xml:space="preserve">注：各项下限</t>
    </r>
    <r>
      <rPr>
        <i val="true"/>
        <sz val="9"/>
        <rFont val="Arial"/>
        <family val="0"/>
        <charset val="1"/>
      </rPr>
      <t xml:space="preserve">/</t>
    </r>
    <r>
      <rPr>
        <i val="true"/>
        <sz val="9"/>
        <rFont val="Noto Sans CJK SC"/>
        <family val="2"/>
      </rPr>
      <t xml:space="preserve">上限之和为实际合计；回复客户时可暂以“约 </t>
    </r>
    <r>
      <rPr>
        <i val="true"/>
        <sz val="9"/>
        <rFont val="Arial"/>
        <family val="0"/>
        <charset val="1"/>
      </rPr>
      <t xml:space="preserve">8–13 </t>
    </r>
    <r>
      <rPr>
        <i val="true"/>
        <sz val="9"/>
        <rFont val="Noto Sans CJK SC"/>
        <family val="2"/>
      </rPr>
      <t xml:space="preserve">人月”表述。</t>
    </r>
  </si>
  <si>
    <t xml:space="preserve">工数变动因素</t>
  </si>
  <si>
    <t xml:space="preserve">因素</t>
  </si>
  <si>
    <t xml:space="preserve">单位</t>
  </si>
  <si>
    <t xml:space="preserve">调整（下限）</t>
  </si>
  <si>
    <t xml:space="preserve">调整（上限）</t>
  </si>
  <si>
    <t xml:space="preserve">对工数影响（下限，人月）</t>
  </si>
  <si>
    <t xml:space="preserve">对工数影响（上限，人月）</t>
  </si>
  <si>
    <r>
      <rPr>
        <sz val="10"/>
        <rFont val="Noto Sans CJK SC"/>
        <family val="2"/>
      </rPr>
      <t xml:space="preserve">仅支持单一 </t>
    </r>
    <r>
      <rPr>
        <sz val="10"/>
        <rFont val="Arial"/>
        <family val="0"/>
        <charset val="1"/>
      </rPr>
      <t xml:space="preserve">MCU</t>
    </r>
  </si>
  <si>
    <t xml:space="preserve">%</t>
  </si>
  <si>
    <t xml:space="preserve">按中值总工数的比例减少</t>
  </si>
  <si>
    <r>
      <rPr>
        <sz val="10"/>
        <rFont val="Arial"/>
        <family val="0"/>
        <charset val="1"/>
      </rPr>
      <t xml:space="preserve">PoC </t>
    </r>
    <r>
      <rPr>
        <sz val="10"/>
        <rFont val="Noto Sans CJK SC"/>
        <family val="2"/>
      </rPr>
      <t xml:space="preserve">质量差、需重写</t>
    </r>
  </si>
  <si>
    <t xml:space="preserve">人月</t>
  </si>
  <si>
    <r>
      <rPr>
        <sz val="10"/>
        <rFont val="Noto Sans CJK SC"/>
        <family val="2"/>
      </rPr>
      <t xml:space="preserve">日志需断电保持（</t>
    </r>
    <r>
      <rPr>
        <sz val="10"/>
        <rFont val="Arial"/>
        <family val="0"/>
        <charset val="1"/>
      </rPr>
      <t xml:space="preserve">Flash / SD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</si>
  <si>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需要 </t>
    </r>
    <r>
      <rPr>
        <sz val="10"/>
        <rFont val="Arial"/>
        <family val="0"/>
        <charset val="1"/>
      </rPr>
      <t xml:space="preserve">PC </t>
    </r>
    <r>
      <rPr>
        <sz val="10"/>
        <rFont val="Noto Sans CJK SC"/>
        <family val="2"/>
      </rPr>
      <t xml:space="preserve">端应用</t>
    </r>
  </si>
  <si>
    <t xml:space="preserve">另算</t>
  </si>
  <si>
    <r>
      <rPr>
        <sz val="10"/>
        <rFont val="Arial"/>
        <family val="0"/>
        <charset val="1"/>
      </rPr>
      <t xml:space="preserve">CAN FD / Ethernet </t>
    </r>
    <r>
      <rPr>
        <sz val="10"/>
        <rFont val="Noto Sans CJK SC"/>
        <family val="2"/>
      </rPr>
      <t xml:space="preserve">有高吞吐、实时性要求</t>
    </r>
  </si>
  <si>
    <t xml:space="preserve">—</t>
  </si>
  <si>
    <t xml:space="preserve">待定</t>
  </si>
  <si>
    <t xml:space="preserve">方向：增加，量待性能指标确定</t>
  </si>
  <si>
    <t xml:space="preserve">估算前提与待确认事项</t>
  </si>
  <si>
    <t xml:space="preserve">类别</t>
  </si>
  <si>
    <t xml:space="preserve">内容</t>
  </si>
  <si>
    <t xml:space="preserve">前提</t>
  </si>
  <si>
    <r>
      <rPr>
        <sz val="10"/>
        <rFont val="Arial"/>
        <family val="0"/>
        <charset val="1"/>
      </rPr>
      <t xml:space="preserve">PC Application </t>
    </r>
    <r>
      <rPr>
        <sz val="10"/>
        <rFont val="Noto Sans CJK SC"/>
        <family val="2"/>
      </rPr>
      <t xml:space="preserve">不在范围内</t>
    </r>
  </si>
  <si>
    <r>
      <rPr>
        <sz val="10"/>
        <rFont val="Arial"/>
        <family val="0"/>
        <charset val="1"/>
      </rPr>
      <t xml:space="preserve">RX71M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RA8P </t>
    </r>
    <r>
      <rPr>
        <sz val="10"/>
        <rFont val="Noto Sans CJK SC"/>
        <family val="2"/>
      </rPr>
      <t xml:space="preserve">两款均支持，使用官方库（</t>
    </r>
    <r>
      <rPr>
        <sz val="10"/>
        <rFont val="Arial"/>
        <family val="0"/>
        <charset val="1"/>
      </rPr>
      <t xml:space="preserve">FSP / Smart Configurator</t>
    </r>
    <r>
      <rPr>
        <sz val="10"/>
        <rFont val="Noto Sans CJK SC"/>
        <family val="2"/>
      </rPr>
      <t xml:space="preserve">），并做硬件抽象层</t>
    </r>
  </si>
  <si>
    <r>
      <rPr>
        <sz val="10"/>
        <rFont val="Arial"/>
        <family val="0"/>
        <charset val="1"/>
      </rPr>
      <t xml:space="preserve">PoC </t>
    </r>
    <r>
      <rPr>
        <sz val="10"/>
        <rFont val="Noto Sans CJK SC"/>
        <family val="2"/>
      </rPr>
      <t xml:space="preserve">有一定可复用度，但不直接沿用</t>
    </r>
  </si>
  <si>
    <t xml:space="preserve">需求分析至测试全包，不含客户现场验证</t>
  </si>
  <si>
    <r>
      <rPr>
        <sz val="10"/>
        <rFont val="Noto Sans CJK SC"/>
        <family val="2"/>
      </rPr>
      <t xml:space="preserve">合同形式以準委任为前提；开始时间 </t>
    </r>
    <r>
      <rPr>
        <sz val="10"/>
        <rFont val="Arial"/>
        <family val="0"/>
        <charset val="1"/>
      </rPr>
      <t xml:space="preserve">2026/11</t>
    </r>
    <r>
      <rPr>
        <sz val="10"/>
        <rFont val="Noto Sans CJK SC"/>
        <family val="2"/>
      </rPr>
      <t xml:space="preserve">〜</t>
    </r>
  </si>
  <si>
    <t xml:space="preserve">待确认</t>
  </si>
  <si>
    <r>
      <rPr>
        <sz val="10"/>
        <rFont val="Arial"/>
        <family val="0"/>
        <charset val="1"/>
      </rPr>
      <t xml:space="preserve">RX71M </t>
    </r>
    <r>
      <rPr>
        <sz val="10"/>
        <rFont val="Noto Sans CJK SC"/>
        <family val="2"/>
      </rPr>
      <t xml:space="preserve">不支持 </t>
    </r>
    <r>
      <rPr>
        <sz val="10"/>
        <rFont val="Arial"/>
        <family val="0"/>
        <charset val="1"/>
      </rPr>
      <t xml:space="preserve">CAN FD</t>
    </r>
    <r>
      <rPr>
        <sz val="10"/>
        <rFont val="Noto Sans CJK SC"/>
        <family val="2"/>
      </rPr>
      <t xml:space="preserve">：两款 </t>
    </r>
    <r>
      <rPr>
        <sz val="10"/>
        <rFont val="Arial"/>
        <family val="0"/>
        <charset val="1"/>
      </rPr>
      <t xml:space="preserve">MCU </t>
    </r>
    <r>
      <rPr>
        <sz val="10"/>
        <rFont val="Noto Sans CJK SC"/>
        <family val="2"/>
      </rPr>
      <t xml:space="preserve">是否都要覆盖全部功能？</t>
    </r>
  </si>
  <si>
    <r>
      <rPr>
        <sz val="10"/>
        <rFont val="Arial"/>
        <family val="0"/>
        <charset val="1"/>
      </rPr>
      <t xml:space="preserve">“VRAM”</t>
    </r>
    <r>
      <rPr>
        <sz val="10"/>
        <rFont val="Noto Sans CJK SC"/>
        <family val="2"/>
      </rPr>
      <t xml:space="preserve">的含义、日志容量、是否需要断电保持</t>
    </r>
  </si>
  <si>
    <r>
      <rPr>
        <sz val="10"/>
        <rFont val="Noto Sans CJK SC"/>
        <family val="2"/>
      </rPr>
      <t xml:space="preserve">性能指标：总线负载、速率、</t>
    </r>
    <r>
      <rPr>
        <sz val="10"/>
        <rFont val="Arial"/>
        <family val="0"/>
        <charset val="1"/>
      </rPr>
      <t xml:space="preserve">AD/DA </t>
    </r>
    <r>
      <rPr>
        <sz val="10"/>
        <rFont val="Noto Sans CJK SC"/>
        <family val="2"/>
      </rPr>
      <t xml:space="preserve">精度与通道数、</t>
    </r>
    <r>
      <rPr>
        <sz val="10"/>
        <rFont val="Arial"/>
        <family val="0"/>
        <charset val="1"/>
      </rPr>
      <t xml:space="preserve">PWM </t>
    </r>
    <r>
      <rPr>
        <sz val="10"/>
        <rFont val="Noto Sans CJK SC"/>
        <family val="2"/>
      </rPr>
      <t xml:space="preserve">频率、</t>
    </r>
    <r>
      <rPr>
        <sz val="10"/>
        <rFont val="Arial"/>
        <family val="0"/>
        <charset val="1"/>
      </rPr>
      <t xml:space="preserve">PC </t>
    </r>
    <r>
      <rPr>
        <sz val="10"/>
        <rFont val="Noto Sans CJK SC"/>
        <family val="2"/>
      </rPr>
      <t xml:space="preserve">吞吐量</t>
    </r>
  </si>
  <si>
    <r>
      <rPr>
        <sz val="10"/>
        <rFont val="Arial"/>
        <family val="0"/>
        <charset val="1"/>
      </rPr>
      <t xml:space="preserve">PC Application </t>
    </r>
    <r>
      <rPr>
        <sz val="10"/>
        <rFont val="Noto Sans CJK SC"/>
        <family val="2"/>
      </rPr>
      <t xml:space="preserve">是否包含在本次委托内</t>
    </r>
  </si>
  <si>
    <r>
      <rPr>
        <sz val="10"/>
        <rFont val="Arial"/>
        <family val="0"/>
        <charset val="1"/>
      </rPr>
      <t xml:space="preserve">PoC </t>
    </r>
    <r>
      <rPr>
        <sz val="10"/>
        <rFont val="Noto Sans CJK SC"/>
        <family val="2"/>
      </rPr>
      <t xml:space="preserve">的代码质量、归属及可复用程度</t>
    </r>
  </si>
  <si>
    <r>
      <rPr>
        <sz val="10"/>
        <rFont val="Noto Sans CJK SC"/>
        <family val="2"/>
      </rPr>
      <t xml:space="preserve">开发环境（</t>
    </r>
    <r>
      <rPr>
        <sz val="10"/>
        <rFont val="Arial"/>
        <family val="0"/>
        <charset val="1"/>
      </rPr>
      <t xml:space="preserve">IDE / </t>
    </r>
    <r>
      <rPr>
        <sz val="10"/>
        <rFont val="Noto Sans CJK SC"/>
        <family val="2"/>
      </rPr>
      <t xml:space="preserve">编译器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调试器）与实机、测试设备的提供方式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</si>
</sst>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.0%"/>
    <numFmt numFmtId="167" formatCode="#,##0"/>
    <numFmt numFmtId="168" formatCode="0%"/>
    <numFmt numFmtId="169" formatCode="\+0.0;\-0.0;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4"/>
    <col collapsed="false" customWidth="true" hidden="false" outlineLevel="0" max="6" min="6" style="0" width="4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  <c r="B4" s="5" t="n">
        <v>70</v>
      </c>
      <c r="C4" s="2" t="s">
        <v>4</v>
      </c>
    </row>
    <row r="5" customFormat="false" ht="15" hidden="false" customHeight="false" outlineLevel="0" collapsed="false">
      <c r="A5" s="4" t="s">
        <v>5</v>
      </c>
      <c r="B5" s="5" t="n">
        <v>100</v>
      </c>
      <c r="C5" s="2" t="s">
        <v>6</v>
      </c>
    </row>
    <row r="6" customFormat="false" ht="15" hidden="false" customHeight="false" outlineLevel="0" collapsed="false">
      <c r="A6" s="4" t="s">
        <v>7</v>
      </c>
      <c r="B6" s="5" t="n">
        <v>3</v>
      </c>
      <c r="C6" s="2" t="s">
        <v>8</v>
      </c>
    </row>
    <row r="7" customFormat="false" ht="15" hidden="false" customHeight="false" outlineLevel="0" collapsed="false">
      <c r="A7" s="4" t="s">
        <v>9</v>
      </c>
      <c r="B7" s="5" t="n">
        <v>4</v>
      </c>
      <c r="C7" s="6" t="s">
        <v>10</v>
      </c>
    </row>
    <row r="9" customFormat="false" ht="15" hidden="false" customHeight="false" outlineLevel="0" collapsed="false">
      <c r="A9" s="7" t="s">
        <v>11</v>
      </c>
      <c r="B9" s="7" t="s">
        <v>12</v>
      </c>
      <c r="C9" s="7" t="s">
        <v>13</v>
      </c>
      <c r="D9" s="7" t="s">
        <v>14</v>
      </c>
      <c r="E9" s="7" t="s">
        <v>15</v>
      </c>
      <c r="F9" s="7" t="s">
        <v>16</v>
      </c>
    </row>
    <row r="10" customFormat="false" ht="15" hidden="false" customHeight="false" outlineLevel="0" collapsed="false">
      <c r="A10" s="8" t="s">
        <v>17</v>
      </c>
      <c r="B10" s="9" t="n">
        <v>0.8</v>
      </c>
      <c r="C10" s="9" t="n">
        <v>1.2</v>
      </c>
      <c r="D10" s="10" t="n">
        <f aca="false">AVERAGE(B10:C10)</f>
        <v>1</v>
      </c>
      <c r="E10" s="11" t="n">
        <f aca="false">D10/$D$20</f>
        <v>0.0921658986175115</v>
      </c>
      <c r="F10" s="12" t="s">
        <v>18</v>
      </c>
    </row>
    <row r="11" customFormat="false" ht="15" hidden="false" customHeight="false" outlineLevel="0" collapsed="false">
      <c r="A11" s="8" t="s">
        <v>19</v>
      </c>
      <c r="B11" s="9" t="n">
        <v>0.8</v>
      </c>
      <c r="C11" s="9" t="n">
        <v>1.2</v>
      </c>
      <c r="D11" s="10" t="n">
        <f aca="false">AVERAGE(B11:C11)</f>
        <v>1</v>
      </c>
      <c r="E11" s="11" t="n">
        <f aca="false">D11/$D$20</f>
        <v>0.0921658986175115</v>
      </c>
      <c r="F11" s="13" t="s">
        <v>20</v>
      </c>
    </row>
    <row r="12" customFormat="false" ht="15" hidden="false" customHeight="false" outlineLevel="0" collapsed="false">
      <c r="A12" s="14" t="s">
        <v>21</v>
      </c>
      <c r="B12" s="9" t="n">
        <v>0.6</v>
      </c>
      <c r="C12" s="9" t="n">
        <v>1</v>
      </c>
      <c r="D12" s="10" t="n">
        <f aca="false">AVERAGE(B12:C12)</f>
        <v>0.8</v>
      </c>
      <c r="E12" s="11" t="n">
        <f aca="false">D12/$D$20</f>
        <v>0.0737327188940092</v>
      </c>
      <c r="F12" s="12"/>
    </row>
    <row r="13" customFormat="false" ht="15" hidden="false" customHeight="false" outlineLevel="0" collapsed="false">
      <c r="A13" s="14" t="s">
        <v>22</v>
      </c>
      <c r="B13" s="9" t="n">
        <v>1</v>
      </c>
      <c r="C13" s="9" t="n">
        <v>1.5</v>
      </c>
      <c r="D13" s="10" t="n">
        <f aca="false">AVERAGE(B13:C13)</f>
        <v>1.25</v>
      </c>
      <c r="E13" s="11" t="n">
        <f aca="false">D13/$D$20</f>
        <v>0.115207373271889</v>
      </c>
      <c r="F13" s="13" t="s">
        <v>23</v>
      </c>
    </row>
    <row r="14" customFormat="false" ht="15" hidden="false" customHeight="false" outlineLevel="0" collapsed="false">
      <c r="A14" s="14" t="s">
        <v>24</v>
      </c>
      <c r="B14" s="9" t="n">
        <v>0.8</v>
      </c>
      <c r="C14" s="9" t="n">
        <v>1.2</v>
      </c>
      <c r="D14" s="10" t="n">
        <f aca="false">AVERAGE(B14:C14)</f>
        <v>1</v>
      </c>
      <c r="E14" s="11" t="n">
        <f aca="false">D14/$D$20</f>
        <v>0.0921658986175115</v>
      </c>
      <c r="F14" s="13" t="s">
        <v>25</v>
      </c>
    </row>
    <row r="15" customFormat="false" ht="15" hidden="false" customHeight="false" outlineLevel="0" collapsed="false">
      <c r="A15" s="8" t="s">
        <v>26</v>
      </c>
      <c r="B15" s="9" t="n">
        <v>1</v>
      </c>
      <c r="C15" s="9" t="n">
        <v>1.5</v>
      </c>
      <c r="D15" s="10" t="n">
        <f aca="false">AVERAGE(B15:C15)</f>
        <v>1.25</v>
      </c>
      <c r="E15" s="11" t="n">
        <f aca="false">D15/$D$20</f>
        <v>0.115207373271889</v>
      </c>
      <c r="F15" s="12"/>
    </row>
    <row r="16" customFormat="false" ht="15" hidden="false" customHeight="false" outlineLevel="0" collapsed="false">
      <c r="A16" s="14" t="s">
        <v>27</v>
      </c>
      <c r="B16" s="9" t="n">
        <v>0.6</v>
      </c>
      <c r="C16" s="9" t="n">
        <v>0.9</v>
      </c>
      <c r="D16" s="10" t="n">
        <f aca="false">AVERAGE(B16:C16)</f>
        <v>0.75</v>
      </c>
      <c r="E16" s="11" t="n">
        <f aca="false">D16/$D$20</f>
        <v>0.0691244239631337</v>
      </c>
      <c r="F16" s="12"/>
    </row>
    <row r="17" customFormat="false" ht="15" hidden="false" customHeight="false" outlineLevel="0" collapsed="false">
      <c r="A17" s="14" t="s">
        <v>28</v>
      </c>
      <c r="B17" s="9" t="n">
        <v>0.8</v>
      </c>
      <c r="C17" s="9" t="n">
        <v>1.5</v>
      </c>
      <c r="D17" s="10" t="n">
        <f aca="false">AVERAGE(B17:C17)</f>
        <v>1.15</v>
      </c>
      <c r="E17" s="11" t="n">
        <f aca="false">D17/$D$20</f>
        <v>0.105990783410138</v>
      </c>
      <c r="F17" s="12" t="s">
        <v>29</v>
      </c>
    </row>
    <row r="18" customFormat="false" ht="15" hidden="false" customHeight="false" outlineLevel="0" collapsed="false">
      <c r="A18" s="8" t="s">
        <v>30</v>
      </c>
      <c r="B18" s="9" t="n">
        <v>1.5</v>
      </c>
      <c r="C18" s="9" t="n">
        <v>2.5</v>
      </c>
      <c r="D18" s="10" t="n">
        <f aca="false">AVERAGE(B18:C18)</f>
        <v>2</v>
      </c>
      <c r="E18" s="11" t="n">
        <f aca="false">D18/$D$20</f>
        <v>0.184331797235023</v>
      </c>
      <c r="F18" s="12" t="s">
        <v>31</v>
      </c>
    </row>
    <row r="19" customFormat="false" ht="15" hidden="false" customHeight="false" outlineLevel="0" collapsed="false">
      <c r="A19" s="8" t="s">
        <v>32</v>
      </c>
      <c r="B19" s="9" t="n">
        <v>0.5</v>
      </c>
      <c r="C19" s="9" t="n">
        <v>0.8</v>
      </c>
      <c r="D19" s="10" t="n">
        <f aca="false">AVERAGE(B19:C19)</f>
        <v>0.65</v>
      </c>
      <c r="E19" s="11" t="n">
        <f aca="false">D19/$D$20</f>
        <v>0.0599078341013825</v>
      </c>
      <c r="F19" s="12"/>
    </row>
    <row r="20" customFormat="false" ht="15" hidden="false" customHeight="false" outlineLevel="0" collapsed="false">
      <c r="A20" s="15" t="s">
        <v>33</v>
      </c>
      <c r="B20" s="16" t="n">
        <f aca="false">SUM(B10:B19)</f>
        <v>8.4</v>
      </c>
      <c r="C20" s="16" t="n">
        <f aca="false">SUM(C10:C19)</f>
        <v>13.3</v>
      </c>
      <c r="D20" s="16" t="n">
        <f aca="false">SUM(D10:D19)</f>
        <v>10.85</v>
      </c>
      <c r="E20" s="17" t="n">
        <f aca="false">SUM(E10:E19)</f>
        <v>1</v>
      </c>
      <c r="F20" s="18"/>
    </row>
    <row r="22" customFormat="false" ht="15" hidden="false" customHeight="false" outlineLevel="0" collapsed="false">
      <c r="A22" s="3" t="s">
        <v>34</v>
      </c>
    </row>
    <row r="23" customFormat="false" ht="15" hidden="false" customHeight="false" outlineLevel="0" collapsed="false">
      <c r="A23" s="4" t="s">
        <v>35</v>
      </c>
      <c r="B23" s="19" t="n">
        <f aca="false">B20*B4</f>
        <v>588</v>
      </c>
      <c r="C23" s="2" t="s">
        <v>36</v>
      </c>
    </row>
    <row r="24" customFormat="false" ht="15" hidden="false" customHeight="false" outlineLevel="0" collapsed="false">
      <c r="A24" s="4" t="s">
        <v>37</v>
      </c>
      <c r="B24" s="19" t="n">
        <f aca="false">C20*B5</f>
        <v>1330</v>
      </c>
      <c r="C24" s="2" t="s">
        <v>38</v>
      </c>
    </row>
    <row r="25" customFormat="false" ht="15" hidden="false" customHeight="false" outlineLevel="0" collapsed="false">
      <c r="A25" s="4" t="s">
        <v>39</v>
      </c>
      <c r="B25" s="19" t="n">
        <f aca="false">D20*AVERAGE(B4:B5)</f>
        <v>922.25</v>
      </c>
      <c r="C25" s="2" t="s">
        <v>40</v>
      </c>
    </row>
    <row r="26" customFormat="false" ht="15" hidden="false" customHeight="false" outlineLevel="0" collapsed="false">
      <c r="A26" s="4" t="s">
        <v>41</v>
      </c>
      <c r="B26" s="10" t="n">
        <f aca="false">D20/B7</f>
        <v>2.7125</v>
      </c>
      <c r="C26" s="2" t="s">
        <v>42</v>
      </c>
    </row>
    <row r="27" customFormat="false" ht="15" hidden="false" customHeight="false" outlineLevel="0" collapsed="false">
      <c r="A27" s="4" t="s">
        <v>43</v>
      </c>
      <c r="B27" s="10" t="n">
        <f aca="false">D20/B6</f>
        <v>3.61666666666667</v>
      </c>
      <c r="C27" s="2" t="s">
        <v>44</v>
      </c>
    </row>
    <row r="29" customFormat="false" ht="15" hidden="false" customHeight="false" outlineLevel="0" collapsed="false">
      <c r="A29" s="2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4" min="3" style="0" width="14"/>
    <col collapsed="false" customWidth="true" hidden="false" outlineLevel="0" max="6" min="5" style="0" width="22"/>
    <col collapsed="false" customWidth="true" hidden="false" outlineLevel="0" max="7" min="7" style="0" width="36"/>
  </cols>
  <sheetData>
    <row r="1" customFormat="false" ht="17.35" hidden="false" customHeight="false" outlineLevel="0" collapsed="false">
      <c r="A1" s="1" t="s">
        <v>46</v>
      </c>
    </row>
    <row r="3" customFormat="false" ht="29.85" hidden="false" customHeight="false" outlineLevel="0" collapsed="false">
      <c r="A3" s="7" t="s">
        <v>47</v>
      </c>
      <c r="B3" s="7" t="s">
        <v>48</v>
      </c>
      <c r="C3" s="7" t="s">
        <v>49</v>
      </c>
      <c r="D3" s="7" t="s">
        <v>50</v>
      </c>
      <c r="E3" s="7" t="s">
        <v>51</v>
      </c>
      <c r="F3" s="7" t="s">
        <v>52</v>
      </c>
      <c r="G3" s="7" t="s">
        <v>16</v>
      </c>
    </row>
    <row r="4" customFormat="false" ht="15" hidden="false" customHeight="false" outlineLevel="0" collapsed="false">
      <c r="A4" s="12" t="s">
        <v>53</v>
      </c>
      <c r="B4" s="13" t="s">
        <v>54</v>
      </c>
      <c r="C4" s="20" t="n">
        <v>-0.25</v>
      </c>
      <c r="D4" s="20" t="n">
        <v>-0.2</v>
      </c>
      <c r="E4" s="21" t="n">
        <f aca="false">IF(ISNUMBER(C4),IF($B4="%",C4*工数估算!$D$20,C4),"待定")</f>
        <v>-2.7125</v>
      </c>
      <c r="F4" s="21" t="n">
        <f aca="false">IF(ISNUMBER(D4),IF($B4="%",D4*工数估算!$D$20,D4),"待定")</f>
        <v>-2.17</v>
      </c>
      <c r="G4" s="12" t="s">
        <v>55</v>
      </c>
    </row>
    <row r="5" customFormat="false" ht="15" hidden="false" customHeight="false" outlineLevel="0" collapsed="false">
      <c r="A5" s="13" t="s">
        <v>56</v>
      </c>
      <c r="B5" s="12" t="s">
        <v>57</v>
      </c>
      <c r="C5" s="22" t="n">
        <v>1</v>
      </c>
      <c r="D5" s="22" t="n">
        <v>3</v>
      </c>
      <c r="E5" s="21" t="n">
        <f aca="false">IF(ISNUMBER(C5),IF($B5="%",C5*工数估算!$D$20,C5),"待定")</f>
        <v>1</v>
      </c>
      <c r="F5" s="21" t="n">
        <f aca="false">IF(ISNUMBER(D5),IF($B5="%",D5*工数估算!$D$20,D5),"待定")</f>
        <v>3</v>
      </c>
      <c r="G5" s="12"/>
    </row>
    <row r="6" customFormat="false" ht="15" hidden="false" customHeight="false" outlineLevel="0" collapsed="false">
      <c r="A6" s="12" t="s">
        <v>58</v>
      </c>
      <c r="B6" s="12" t="s">
        <v>57</v>
      </c>
      <c r="C6" s="22" t="n">
        <v>0.5</v>
      </c>
      <c r="D6" s="22" t="n">
        <v>0.5</v>
      </c>
      <c r="E6" s="21" t="n">
        <f aca="false">IF(ISNUMBER(C6),IF($B6="%",C6*工数估算!$D$20,C6),"待定")</f>
        <v>0.5</v>
      </c>
      <c r="F6" s="21" t="n">
        <f aca="false">IF(ISNUMBER(D6),IF($B6="%",D6*工数估算!$D$20,D6),"待定")</f>
        <v>0.5</v>
      </c>
      <c r="G6" s="12"/>
    </row>
    <row r="7" customFormat="false" ht="15" hidden="false" customHeight="false" outlineLevel="0" collapsed="false">
      <c r="A7" s="12" t="s">
        <v>59</v>
      </c>
      <c r="B7" s="12" t="s">
        <v>57</v>
      </c>
      <c r="C7" s="22" t="n">
        <v>2</v>
      </c>
      <c r="D7" s="22" t="n">
        <v>4</v>
      </c>
      <c r="E7" s="21" t="n">
        <f aca="false">IF(ISNUMBER(C7),IF($B7="%",C7*工数估算!$D$20,C7),"待定")</f>
        <v>2</v>
      </c>
      <c r="F7" s="21" t="n">
        <f aca="false">IF(ISNUMBER(D7),IF($B7="%",D7*工数估算!$D$20,D7),"待定")</f>
        <v>4</v>
      </c>
      <c r="G7" s="12" t="s">
        <v>60</v>
      </c>
    </row>
    <row r="8" customFormat="false" ht="15" hidden="false" customHeight="false" outlineLevel="0" collapsed="false">
      <c r="A8" s="13" t="s">
        <v>61</v>
      </c>
      <c r="B8" s="13" t="s">
        <v>62</v>
      </c>
      <c r="C8" s="23" t="s">
        <v>63</v>
      </c>
      <c r="D8" s="23" t="s">
        <v>63</v>
      </c>
      <c r="E8" s="21" t="str">
        <f aca="false">IF(ISNUMBER(C8),IF($B8="%",C8*工数估算!$D$20,C8),"待定")</f>
        <v>待定</v>
      </c>
      <c r="F8" s="21" t="str">
        <f aca="false">IF(ISNUMBER(D8),IF($B8="%",D8*工数估算!$D$20,D8),"待定")</f>
        <v>待定</v>
      </c>
      <c r="G8" s="12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65</v>
      </c>
    </row>
    <row r="3" customFormat="false" ht="15" hidden="false" customHeight="false" outlineLevel="0" collapsed="false">
      <c r="A3" s="7" t="s">
        <v>66</v>
      </c>
      <c r="B3" s="7" t="s">
        <v>67</v>
      </c>
    </row>
    <row r="4" customFormat="false" ht="15" hidden="false" customHeight="false" outlineLevel="0" collapsed="false">
      <c r="A4" s="12" t="s">
        <v>68</v>
      </c>
      <c r="B4" s="13" t="s">
        <v>69</v>
      </c>
    </row>
    <row r="5" customFormat="false" ht="15" hidden="false" customHeight="false" outlineLevel="0" collapsed="false">
      <c r="A5" s="12" t="s">
        <v>68</v>
      </c>
      <c r="B5" s="13" t="s">
        <v>70</v>
      </c>
    </row>
    <row r="6" customFormat="false" ht="15" hidden="false" customHeight="false" outlineLevel="0" collapsed="false">
      <c r="A6" s="12" t="s">
        <v>68</v>
      </c>
      <c r="B6" s="13" t="s">
        <v>71</v>
      </c>
    </row>
    <row r="7" customFormat="false" ht="15" hidden="false" customHeight="false" outlineLevel="0" collapsed="false">
      <c r="A7" s="12" t="s">
        <v>68</v>
      </c>
      <c r="B7" s="12" t="s">
        <v>72</v>
      </c>
    </row>
    <row r="8" customFormat="false" ht="15" hidden="false" customHeight="false" outlineLevel="0" collapsed="false">
      <c r="A8" s="12" t="s">
        <v>68</v>
      </c>
      <c r="B8" s="12" t="s">
        <v>73</v>
      </c>
    </row>
    <row r="9" customFormat="false" ht="15" hidden="false" customHeight="false" outlineLevel="0" collapsed="false">
      <c r="A9" s="12" t="s">
        <v>74</v>
      </c>
      <c r="B9" s="13" t="s">
        <v>75</v>
      </c>
    </row>
    <row r="10" customFormat="false" ht="15" hidden="false" customHeight="false" outlineLevel="0" collapsed="false">
      <c r="A10" s="12" t="s">
        <v>74</v>
      </c>
      <c r="B10" s="13" t="s">
        <v>76</v>
      </c>
    </row>
    <row r="11" customFormat="false" ht="15" hidden="false" customHeight="false" outlineLevel="0" collapsed="false">
      <c r="A11" s="12" t="s">
        <v>74</v>
      </c>
      <c r="B11" s="12" t="s">
        <v>77</v>
      </c>
    </row>
    <row r="12" customFormat="false" ht="15" hidden="false" customHeight="false" outlineLevel="0" collapsed="false">
      <c r="A12" s="12" t="s">
        <v>74</v>
      </c>
      <c r="B12" s="13" t="s">
        <v>78</v>
      </c>
    </row>
    <row r="13" customFormat="false" ht="15" hidden="false" customHeight="false" outlineLevel="0" collapsed="false">
      <c r="A13" s="12" t="s">
        <v>74</v>
      </c>
      <c r="B13" s="13" t="s">
        <v>79</v>
      </c>
    </row>
    <row r="14" customFormat="false" ht="15" hidden="false" customHeight="false" outlineLevel="0" collapsed="false">
      <c r="A14" s="12" t="s">
        <v>74</v>
      </c>
      <c r="B14" s="12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2026-10-02T08:24:39Z</dcterms:created>
  <dc:creator>openpyxl</dc:creator>
  <dc:description/>
  <dc:language>en-US</dc:language>
  <cp:lastModifiedBy/>
  <dcterms:modified xsi:type="dcterms:W3CDTF">2026-10-02T08:24:39Z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