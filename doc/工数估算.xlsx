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Renesas_RX71M_RA8P\doc\"/>
    </mc:Choice>
  </mc:AlternateContent>
  <xr:revisionPtr revIDLastSave="0" documentId="13_ncr:1_{F415B43F-966B-43C7-AE21-53CE7AE9C6CE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工数估算" sheetId="1" r:id="rId1"/>
    <sheet name="变动因素" sheetId="2" r:id="rId2"/>
    <sheet name="前提与待确认" sheetId="3" r:id="rId3"/>
    <sheet name="依据" sheetId="4" r:id="rId4"/>
  </sheets>
  <definedNames>
    <definedName name="_xlnm._FilterDatabase" localSheetId="3" hidden="1">依据!$A$1:$C$15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E8" i="2"/>
  <c r="F7" i="2"/>
  <c r="E7" i="2"/>
  <c r="F6" i="2"/>
  <c r="E6" i="2"/>
  <c r="F5" i="2"/>
  <c r="E5" i="2"/>
  <c r="B24" i="1"/>
  <c r="C20" i="1"/>
  <c r="B20" i="1"/>
  <c r="B23" i="1" s="1"/>
  <c r="D19" i="1"/>
  <c r="D18" i="1"/>
  <c r="D17" i="1"/>
  <c r="D16" i="1"/>
  <c r="D15" i="1"/>
  <c r="D14" i="1"/>
  <c r="D13" i="1"/>
  <c r="D12" i="1"/>
  <c r="D11" i="1"/>
  <c r="D10" i="1"/>
  <c r="D20" i="1" s="1"/>
  <c r="E11" i="1" l="1"/>
  <c r="E15" i="1"/>
  <c r="E12" i="1"/>
  <c r="E13" i="1"/>
  <c r="E14" i="1"/>
  <c r="E16" i="1"/>
  <c r="E17" i="1"/>
  <c r="E18" i="1"/>
  <c r="F4" i="2"/>
  <c r="E4" i="2"/>
  <c r="B27" i="1"/>
  <c r="B26" i="1"/>
  <c r="B25" i="1"/>
  <c r="E19" i="1"/>
  <c r="E10" i="1"/>
  <c r="E20" i="1" s="1"/>
</calcChain>
</file>

<file path=xl/sharedStrings.xml><?xml version="1.0" encoding="utf-8"?>
<sst xmlns="http://schemas.openxmlformats.org/spreadsheetml/2006/main" count="139" uniqueCount="120">
  <si>
    <t>嵌入式软件开发委托 — 工数与报价粗估</t>
  </si>
  <si>
    <t>精度约 ±30%，仅用于初步沟通。蓝色单元格为输入值，可直接修改。</t>
  </si>
  <si>
    <t>参数</t>
  </si>
  <si>
    <t>单价下限（万日元/人月）</t>
  </si>
  <si>
    <t>来源：本人对準委任嵌入式工程师行情的大致印象，请按自身成本调整</t>
  </si>
  <si>
    <t>单价上限（万日元/人月）</t>
  </si>
  <si>
    <t>同上（资深工程师更高）</t>
  </si>
  <si>
    <t>团队人数下限（人）</t>
  </si>
  <si>
    <t>建议配置 3–4 人</t>
  </si>
  <si>
    <t>团队人数上限（人）</t>
  </si>
  <si>
    <t>1 名资深（架构兼 PL）+ 2–3 名嵌入式工程师</t>
  </si>
  <si>
    <t>工作项</t>
  </si>
  <si>
    <t>下限（人月）</t>
  </si>
  <si>
    <t>上限（人月）</t>
  </si>
  <si>
    <t>中值（人月）</t>
  </si>
  <si>
    <t>占比（中值）</t>
  </si>
  <si>
    <t>备注</t>
  </si>
  <si>
    <t>需求分析、基本设计</t>
  </si>
  <si>
    <t>含需求澄清会议、PoC 评估</t>
  </si>
  <si>
    <t>架构、FreeRTOS、BSP、双 MCU 基础</t>
  </si>
  <si>
    <t>RX71M 与 RA8P 的硬件抽象层</t>
  </si>
  <si>
    <t>USB / 串口 PC 通信与协议</t>
  </si>
  <si>
    <t>CAN / CAN FD</t>
  </si>
  <si>
    <t>RX71M 不支持 CAN FD，需确认机型分工</t>
  </si>
  <si>
    <t>CANlog 记录与传输</t>
  </si>
  <si>
    <t>“VRAM”含义及断电保持需确认</t>
  </si>
  <si>
    <t>多路 Serial（SPI / UART / LIN）</t>
  </si>
  <si>
    <t>GPIO / AD / DA / PWM</t>
  </si>
  <si>
    <t>Ethernet</t>
  </si>
  <si>
    <t>吞吐与实时性要求未知</t>
  </si>
  <si>
    <t>集成测试、验证</t>
  </si>
  <si>
    <t>不含客户现场验证</t>
  </si>
  <si>
    <t>文档、项目管理</t>
  </si>
  <si>
    <t>合计</t>
  </si>
  <si>
    <t>金额与周期</t>
  </si>
  <si>
    <t>金额下限（万日元）</t>
  </si>
  <si>
    <t>下限工数 × 单价下限</t>
  </si>
  <si>
    <t>金额上限（万日元）</t>
  </si>
  <si>
    <t>上限工数 × 单价上限</t>
  </si>
  <si>
    <t>金额中值（万日元）</t>
  </si>
  <si>
    <t>中值工数 × 平均单价</t>
  </si>
  <si>
    <t>周期下限（月）</t>
  </si>
  <si>
    <t>中值工数 ÷ 团队人数上限</t>
  </si>
  <si>
    <t>周期上限（月）</t>
  </si>
  <si>
    <t>中值工数 ÷ 团队人数下限</t>
  </si>
  <si>
    <t>注：各项下限/上限之和为实际合计；回复客户时可暂以“约 8–13 人月”表述。</t>
  </si>
  <si>
    <t>工数变动因素</t>
  </si>
  <si>
    <t>因素</t>
  </si>
  <si>
    <t>单位</t>
  </si>
  <si>
    <t>调整（下限）</t>
  </si>
  <si>
    <t>调整（上限）</t>
  </si>
  <si>
    <t>对工数影响（下限，人月）</t>
  </si>
  <si>
    <t>对工数影响（上限，人月）</t>
  </si>
  <si>
    <t>仅支持单一 MCU</t>
  </si>
  <si>
    <t>%</t>
  </si>
  <si>
    <t>按中值总工数的比例减少</t>
  </si>
  <si>
    <t>PoC 质量差、需重写</t>
  </si>
  <si>
    <t>人月</t>
  </si>
  <si>
    <t>日志需断电保持（Flash / SD）</t>
  </si>
  <si>
    <t>需要 PC 端应用</t>
  </si>
  <si>
    <t>另算</t>
  </si>
  <si>
    <t>CAN FD / Ethernet 有高吞吐、实时性要求</t>
  </si>
  <si>
    <t>—</t>
  </si>
  <si>
    <t>待定</t>
  </si>
  <si>
    <t>方向：增加，量待性能指标确定</t>
  </si>
  <si>
    <t>估算前提与待确认事项</t>
  </si>
  <si>
    <t>类别</t>
  </si>
  <si>
    <t>内容</t>
  </si>
  <si>
    <t>前提</t>
  </si>
  <si>
    <t>PC Application 不在范围内</t>
  </si>
  <si>
    <t>RX71M、RA8P 两款均支持，使用官方库（FSP / Smart Configurator），并做硬件抽象层</t>
  </si>
  <si>
    <t>PoC 有一定可复用度，但不直接沿用</t>
  </si>
  <si>
    <t>需求分析至测试全包，不含客户现场验证</t>
  </si>
  <si>
    <t>合同形式以準委任为前提；开始时间 2026/11〜</t>
  </si>
  <si>
    <t>待确认</t>
  </si>
  <si>
    <t>RX71M 不支持 CAN FD：两款 MCU 是否都要覆盖全部功能？</t>
  </si>
  <si>
    <t>“VRAM”的含义、日志容量、是否需要断电保持</t>
  </si>
  <si>
    <t>性能指标：总线负载、速率、AD/DA 精度与通道数、PWM 频率、PC 吞吐量</t>
  </si>
  <si>
    <t>PC Application 是否包含在本次委托内</t>
  </si>
  <si>
    <t>PoC 的代码质量、归属及可复用程度</t>
  </si>
  <si>
    <t>开发环境（IDE / 编译器 / 调试器）与实机、测试设备的提供方式</t>
  </si>
  <si>
    <t>项目</t>
  </si>
  <si>
    <t>早期数字</t>
  </si>
  <si>
    <t>依据，以及和现在分解的关系</t>
  </si>
  <si>
    <t>整体区间</t>
  </si>
  <si>
    <t>约 8.4–13.3 人月，中值约 10.9</t>
  </si>
  <si>
    <t>各项下限与上限相加。±30% 是当时的沟通说法，不是统计置信区间。</t>
  </si>
  <si>
    <t>0.8–1.2 人月</t>
  </si>
  <si>
    <t>PoC 已在。现在收进 E0-S1 的 1 人日和 E7-S2 的 3 人日，不再单列约 1 人月全新设计。</t>
  </si>
  <si>
    <t>架构与双 MCU 基础</t>
  </si>
  <si>
    <t>硬件抽象层已在 PoC。剩下的是 E0-S5 的 5 人日。</t>
  </si>
  <si>
    <t>USB / 协议</t>
  </si>
  <si>
    <t>0.6–1.0 人月</t>
  </si>
  <si>
    <t>协议已在。CDC 是 E5 的 20 人日，与上限 1.0 人月一致。</t>
  </si>
  <si>
    <t>CAN</t>
  </si>
  <si>
    <t>1.0–1.5 人月</t>
  </si>
  <si>
    <t>E3 的 21 人日，位于 20–30 人日的下沿。</t>
  </si>
  <si>
    <t>CANlog</t>
  </si>
  <si>
    <t>E4 的 14 人日。不做掉电保持，所以低于下限 16 人日。</t>
  </si>
  <si>
    <t>多路 Serial</t>
  </si>
  <si>
    <t>E2 的 16 人日。演示已在，所以低于下限 20 人日。</t>
  </si>
  <si>
    <t>GPIO 等</t>
  </si>
  <si>
    <t>0.6–0.9 人月</t>
  </si>
  <si>
    <t>E1 的 3 人日。功能已在，只改 PWM 对照。</t>
  </si>
  <si>
    <t>0.8–1.5 人月</t>
  </si>
  <si>
    <t>E6 的 27 人日，位于 16–30 人日的上沿。</t>
  </si>
  <si>
    <t>集成测试</t>
  </si>
  <si>
    <t>1.5–2.5 人月</t>
  </si>
  <si>
    <t>E0-S3 与 E7-S1 共 24 人日。各 story 自己的实机含在 story 里。</t>
  </si>
  <si>
    <t>项目管理</t>
  </si>
  <si>
    <t>0.5–0.8 人月</t>
  </si>
  <si>
    <t>这项偏小。现在的报价是出勤 240 人日（12.0 人月），管理是出勤的内部分项。</t>
  </si>
  <si>
    <t>单价 70–100</t>
  </si>
  <si>
    <t>万日元/人月</t>
  </si>
  <si>
    <t>印象值，不是 IPA 公布单价。工数与单价分开。</t>
  </si>
  <si>
    <t>PC 不在范围</t>
  </si>
  <si>
    <t>早期前提</t>
  </si>
  <si>
    <t>现在的 139 含上位机。这条前提不再用于现行分解。</t>
  </si>
  <si>
    <t>PoC 不直接沿用</t>
  </si>
  <si>
    <t>现在沿用 PoC。这条前提不再用于现行分解。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</si>
</sst>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"/>
    <numFmt numFmtId="177" formatCode="0.0%"/>
    <numFmt numFmtId="178" formatCode="\+0.0;\-0.0;0.0"/>
  </numFmts>
  <fonts count="17">
    <font>
      <sz val="11"/>
      <color theme="1"/>
      <name val="Calibri"/>
      <family val="2"/>
      <charset val="1"/>
    </font>
    <font>
      <b/>
      <sz val="14"/>
      <name val="Noto Sans CJK SC"/>
      <family val="2"/>
    </font>
    <font>
      <i/>
      <sz val="9"/>
      <name val="Noto Sans CJK SC"/>
      <family val="2"/>
    </font>
    <font>
      <i/>
      <sz val="9"/>
      <name val="Arial"/>
      <family val="2"/>
    </font>
    <font>
      <b/>
      <sz val="10"/>
      <name val="Noto Sans CJK SC"/>
      <family val="2"/>
    </font>
    <font>
      <sz val="10"/>
      <name val="Noto Sans CJK SC"/>
      <family val="2"/>
    </font>
    <font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Noto Sans CJK SC"/>
      <family val="2"/>
    </font>
    <font>
      <b/>
      <sz val="10"/>
      <name val="Arial"/>
      <family val="2"/>
    </font>
    <font>
      <sz val="10"/>
      <color rgb="FF008000"/>
      <name val="Arial"/>
      <family val="2"/>
    </font>
    <font>
      <sz val="10"/>
      <color rgb="FF0000FF"/>
      <name val="Noto Sans CJK SC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sz val="10"/>
      <color rgb="FFFF0000"/>
      <name val="Arial"/>
      <family val="2"/>
    </font>
    <font>
      <sz val="10"/>
      <color rgb="FFFF0000"/>
      <name val="Noto Sans CJK SC"/>
      <family val="2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1F4E79"/>
      </patternFill>
    </fill>
    <fill>
      <patternFill patternType="solid">
        <fgColor rgb="FFF7F9FB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CBD9"/>
      </left>
      <right style="thin">
        <color rgb="FFBFCBD9"/>
      </right>
      <top style="thin">
        <color rgb="FFBFCBD9"/>
      </top>
      <bottom style="thin">
        <color rgb="FFBFCBD9"/>
      </bottom>
      <diagonal/>
    </border>
  </borders>
  <cellStyleXfs count="1">
    <xf numFmtId="0" fontId="0" fillId="0" borderId="0"/>
  </cellStyleXfs>
  <cellXfs count="31">
    <xf numFmtId="0" fontId="0" fillId="0" borderId="0" xfId="0" applyAlignment="1"/>
    <xf numFmtId="0" fontId="0" fillId="0" borderId="0" xfId="0" applyAlignment="1"/>
    <xf numFmtId="0" fontId="0" fillId="0" borderId="0" xfId="0"/>
    <xf numFmtId="0" fontId="1" fillId="0" borderId="0" xfId="0" applyFont="1" applyAlignment="1"/>
    <xf numFmtId="0" fontId="2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7" fillId="2" borderId="1" xfId="0" applyFont="1" applyFill="1" applyBorder="1" applyAlignment="1"/>
    <xf numFmtId="0" fontId="3" fillId="0" borderId="0" xfId="0" applyFont="1" applyAlignment="1"/>
    <xf numFmtId="0" fontId="8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/>
    <xf numFmtId="176" fontId="7" fillId="0" borderId="1" xfId="0" applyNumberFormat="1" applyFont="1" applyBorder="1" applyAlignment="1"/>
    <xf numFmtId="176" fontId="6" fillId="0" borderId="1" xfId="0" applyNumberFormat="1" applyFont="1" applyBorder="1" applyAlignment="1"/>
    <xf numFmtId="177" fontId="6" fillId="0" borderId="1" xfId="0" applyNumberFormat="1" applyFont="1" applyBorder="1" applyAlignment="1"/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/>
    <xf numFmtId="0" fontId="4" fillId="4" borderId="1" xfId="0" applyFont="1" applyFill="1" applyBorder="1" applyAlignment="1"/>
    <xf numFmtId="176" fontId="9" fillId="4" borderId="1" xfId="0" applyNumberFormat="1" applyFont="1" applyFill="1" applyBorder="1" applyAlignment="1"/>
    <xf numFmtId="177" fontId="9" fillId="4" borderId="1" xfId="0" applyNumberFormat="1" applyFont="1" applyFill="1" applyBorder="1" applyAlignment="1"/>
    <xf numFmtId="0" fontId="9" fillId="4" borderId="1" xfId="0" applyFont="1" applyFill="1" applyBorder="1" applyAlignment="1">
      <alignment vertical="center" wrapText="1"/>
    </xf>
    <xf numFmtId="3" fontId="6" fillId="0" borderId="1" xfId="0" applyNumberFormat="1" applyFont="1" applyBorder="1" applyAlignment="1"/>
    <xf numFmtId="9" fontId="7" fillId="0" borderId="1" xfId="0" applyNumberFormat="1" applyFont="1" applyBorder="1" applyAlignment="1">
      <alignment vertical="center" wrapText="1"/>
    </xf>
    <xf numFmtId="178" fontId="10" fillId="0" borderId="1" xfId="0" applyNumberFormat="1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3" fillId="5" borderId="2" xfId="0" applyFont="1" applyFill="1" applyBorder="1" applyAlignment="1">
      <alignment vertical="center" wrapText="1"/>
    </xf>
    <xf numFmtId="0" fontId="12" fillId="6" borderId="2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4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tabSelected="1" zoomScaleNormal="100" workbookViewId="0">
      <pane ySplit="9" topLeftCell="A10" activePane="bottomLeft" state="frozen"/>
      <selection pane="bottomLeft" activeCell="F13" sqref="F13"/>
    </sheetView>
  </sheetViews>
  <sheetFormatPr defaultColWidth="8.6640625" defaultRowHeight="14.4"/>
  <cols>
    <col min="1" max="1" width="38" style="1" customWidth="1"/>
    <col min="2" max="5" width="14" style="1" customWidth="1"/>
    <col min="6" max="6" width="42" style="1" customWidth="1"/>
  </cols>
  <sheetData>
    <row r="1" spans="1:6" ht="17.399999999999999" customHeight="1">
      <c r="A1" s="3" t="s">
        <v>0</v>
      </c>
    </row>
    <row r="2" spans="1:6" ht="15" customHeight="1">
      <c r="A2" s="4" t="s">
        <v>1</v>
      </c>
    </row>
    <row r="3" spans="1:6" ht="15" customHeight="1">
      <c r="A3" s="5" t="s">
        <v>2</v>
      </c>
    </row>
    <row r="4" spans="1:6" ht="15" customHeight="1">
      <c r="A4" s="6" t="s">
        <v>3</v>
      </c>
      <c r="B4" s="7">
        <v>70</v>
      </c>
      <c r="C4" s="4" t="s">
        <v>4</v>
      </c>
    </row>
    <row r="5" spans="1:6" ht="15" customHeight="1">
      <c r="A5" s="6" t="s">
        <v>5</v>
      </c>
      <c r="B5" s="7">
        <v>100</v>
      </c>
      <c r="C5" s="4" t="s">
        <v>6</v>
      </c>
    </row>
    <row r="6" spans="1:6" ht="15" customHeight="1">
      <c r="A6" s="6" t="s">
        <v>7</v>
      </c>
      <c r="B6" s="7">
        <v>3</v>
      </c>
      <c r="C6" s="4" t="s">
        <v>8</v>
      </c>
    </row>
    <row r="7" spans="1:6" ht="15" customHeight="1">
      <c r="A7" s="6" t="s">
        <v>9</v>
      </c>
      <c r="B7" s="7">
        <v>4</v>
      </c>
      <c r="C7" s="8" t="s">
        <v>10</v>
      </c>
    </row>
    <row r="9" spans="1:6" ht="15" customHeight="1">
      <c r="A9" s="9" t="s">
        <v>11</v>
      </c>
      <c r="B9" s="9" t="s">
        <v>12</v>
      </c>
      <c r="C9" s="9" t="s">
        <v>13</v>
      </c>
      <c r="D9" s="9" t="s">
        <v>14</v>
      </c>
      <c r="E9" s="9" t="s">
        <v>15</v>
      </c>
      <c r="F9" s="9" t="s">
        <v>16</v>
      </c>
    </row>
    <row r="10" spans="1:6" ht="15" customHeight="1">
      <c r="A10" s="10" t="s">
        <v>17</v>
      </c>
      <c r="B10" s="11">
        <v>0.8</v>
      </c>
      <c r="C10" s="11">
        <v>1.2</v>
      </c>
      <c r="D10" s="12">
        <f t="shared" ref="D10:D19" si="0">AVERAGE(B10:C10)</f>
        <v>1</v>
      </c>
      <c r="E10" s="13">
        <f t="shared" ref="E10:E19" si="1">D10/$D$20</f>
        <v>9.2165898617511524E-2</v>
      </c>
      <c r="F10" s="30" t="s">
        <v>18</v>
      </c>
    </row>
    <row r="11" spans="1:6" ht="15" customHeight="1">
      <c r="A11" s="10" t="s">
        <v>19</v>
      </c>
      <c r="B11" s="11">
        <v>0.8</v>
      </c>
      <c r="C11" s="11">
        <v>1.2</v>
      </c>
      <c r="D11" s="12">
        <f t="shared" si="0"/>
        <v>1</v>
      </c>
      <c r="E11" s="13">
        <f t="shared" si="1"/>
        <v>9.2165898617511524E-2</v>
      </c>
      <c r="F11" s="29" t="s">
        <v>20</v>
      </c>
    </row>
    <row r="12" spans="1:6" ht="15" customHeight="1">
      <c r="A12" s="16" t="s">
        <v>21</v>
      </c>
      <c r="B12" s="11">
        <v>0.6</v>
      </c>
      <c r="C12" s="11">
        <v>1</v>
      </c>
      <c r="D12" s="12">
        <f t="shared" si="0"/>
        <v>0.8</v>
      </c>
      <c r="E12" s="13">
        <f t="shared" si="1"/>
        <v>7.3732718894009217E-2</v>
      </c>
      <c r="F12" s="14"/>
    </row>
    <row r="13" spans="1:6" ht="15" customHeight="1">
      <c r="A13" s="16" t="s">
        <v>22</v>
      </c>
      <c r="B13" s="11">
        <v>1</v>
      </c>
      <c r="C13" s="11">
        <v>1.5</v>
      </c>
      <c r="D13" s="12">
        <f t="shared" si="0"/>
        <v>1.25</v>
      </c>
      <c r="E13" s="13">
        <f t="shared" si="1"/>
        <v>0.1152073732718894</v>
      </c>
      <c r="F13" s="29" t="s">
        <v>23</v>
      </c>
    </row>
    <row r="14" spans="1:6" ht="15" customHeight="1">
      <c r="A14" s="16" t="s">
        <v>24</v>
      </c>
      <c r="B14" s="11">
        <v>0.8</v>
      </c>
      <c r="C14" s="11">
        <v>1.2</v>
      </c>
      <c r="D14" s="12">
        <f t="shared" si="0"/>
        <v>1</v>
      </c>
      <c r="E14" s="13">
        <f t="shared" si="1"/>
        <v>9.2165898617511524E-2</v>
      </c>
      <c r="F14" s="29" t="s">
        <v>25</v>
      </c>
    </row>
    <row r="15" spans="1:6" ht="15" customHeight="1">
      <c r="A15" s="10" t="s">
        <v>26</v>
      </c>
      <c r="B15" s="11">
        <v>1</v>
      </c>
      <c r="C15" s="11">
        <v>1.5</v>
      </c>
      <c r="D15" s="12">
        <f t="shared" si="0"/>
        <v>1.25</v>
      </c>
      <c r="E15" s="13">
        <f t="shared" si="1"/>
        <v>0.1152073732718894</v>
      </c>
      <c r="F15" s="14"/>
    </row>
    <row r="16" spans="1:6" ht="15" customHeight="1">
      <c r="A16" s="16" t="s">
        <v>27</v>
      </c>
      <c r="B16" s="11">
        <v>0.6</v>
      </c>
      <c r="C16" s="11">
        <v>0.9</v>
      </c>
      <c r="D16" s="12">
        <f t="shared" si="0"/>
        <v>0.75</v>
      </c>
      <c r="E16" s="13">
        <f t="shared" si="1"/>
        <v>6.9124423963133647E-2</v>
      </c>
      <c r="F16" s="14"/>
    </row>
    <row r="17" spans="1:6" ht="15" customHeight="1">
      <c r="A17" s="16" t="s">
        <v>28</v>
      </c>
      <c r="B17" s="11">
        <v>0.8</v>
      </c>
      <c r="C17" s="11">
        <v>1.5</v>
      </c>
      <c r="D17" s="12">
        <f t="shared" si="0"/>
        <v>1.1499999999999999</v>
      </c>
      <c r="E17" s="13">
        <f t="shared" si="1"/>
        <v>0.10599078341013825</v>
      </c>
      <c r="F17" s="30" t="s">
        <v>29</v>
      </c>
    </row>
    <row r="18" spans="1:6" ht="15" customHeight="1">
      <c r="A18" s="10" t="s">
        <v>30</v>
      </c>
      <c r="B18" s="11">
        <v>1.5</v>
      </c>
      <c r="C18" s="11">
        <v>2.5</v>
      </c>
      <c r="D18" s="12">
        <f t="shared" si="0"/>
        <v>2</v>
      </c>
      <c r="E18" s="13">
        <f t="shared" si="1"/>
        <v>0.18433179723502305</v>
      </c>
      <c r="F18" s="30" t="s">
        <v>31</v>
      </c>
    </row>
    <row r="19" spans="1:6" ht="15" customHeight="1">
      <c r="A19" s="10" t="s">
        <v>32</v>
      </c>
      <c r="B19" s="11">
        <v>0.5</v>
      </c>
      <c r="C19" s="11">
        <v>0.8</v>
      </c>
      <c r="D19" s="12">
        <f t="shared" si="0"/>
        <v>0.65</v>
      </c>
      <c r="E19" s="13">
        <f t="shared" si="1"/>
        <v>5.9907834101382493E-2</v>
      </c>
      <c r="F19" s="14"/>
    </row>
    <row r="20" spans="1:6" ht="15" customHeight="1">
      <c r="A20" s="17" t="s">
        <v>33</v>
      </c>
      <c r="B20" s="18">
        <f>SUM(B10:B19)</f>
        <v>8.3999999999999986</v>
      </c>
      <c r="C20" s="18">
        <f>SUM(C10:C19)</f>
        <v>13.3</v>
      </c>
      <c r="D20" s="18">
        <f>SUM(D10:D19)</f>
        <v>10.85</v>
      </c>
      <c r="E20" s="19">
        <f>SUM(E10:E19)</f>
        <v>0.99999999999999989</v>
      </c>
      <c r="F20" s="20"/>
    </row>
    <row r="22" spans="1:6" ht="15" customHeight="1">
      <c r="A22" s="5" t="s">
        <v>34</v>
      </c>
    </row>
    <row r="23" spans="1:6" ht="15" customHeight="1">
      <c r="A23" s="6" t="s">
        <v>35</v>
      </c>
      <c r="B23" s="21">
        <f>B20*B4</f>
        <v>587.99999999999989</v>
      </c>
      <c r="C23" s="4" t="s">
        <v>36</v>
      </c>
    </row>
    <row r="24" spans="1:6" ht="15" customHeight="1">
      <c r="A24" s="6" t="s">
        <v>37</v>
      </c>
      <c r="B24" s="21">
        <f>C20*B5</f>
        <v>1330</v>
      </c>
      <c r="C24" s="4" t="s">
        <v>38</v>
      </c>
    </row>
    <row r="25" spans="1:6" ht="15" customHeight="1">
      <c r="A25" s="6" t="s">
        <v>39</v>
      </c>
      <c r="B25" s="21">
        <f>D20*AVERAGE(B4:B5)</f>
        <v>922.25</v>
      </c>
      <c r="C25" s="4" t="s">
        <v>40</v>
      </c>
    </row>
    <row r="26" spans="1:6" ht="15" customHeight="1">
      <c r="A26" s="6" t="s">
        <v>41</v>
      </c>
      <c r="B26" s="12">
        <f>D20/B7</f>
        <v>2.7124999999999999</v>
      </c>
      <c r="C26" s="4" t="s">
        <v>42</v>
      </c>
    </row>
    <row r="27" spans="1:6" ht="15" customHeight="1">
      <c r="A27" s="6" t="s">
        <v>43</v>
      </c>
      <c r="B27" s="12">
        <f>D20/B6</f>
        <v>3.6166666666666667</v>
      </c>
      <c r="C27" s="4" t="s">
        <v>44</v>
      </c>
    </row>
    <row r="29" spans="1:6" ht="15" customHeight="1">
      <c r="A29" s="4" t="s">
        <v>45</v>
      </c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zoomScaleNormal="100" workbookViewId="0">
      <selection activeCell="A6" sqref="A6"/>
    </sheetView>
  </sheetViews>
  <sheetFormatPr defaultColWidth="8.6640625" defaultRowHeight="14.4"/>
  <cols>
    <col min="1" max="1" width="40" style="1" customWidth="1"/>
    <col min="2" max="2" width="8" style="1" customWidth="1"/>
    <col min="3" max="4" width="14" style="1" customWidth="1"/>
    <col min="5" max="6" width="22" style="1" customWidth="1"/>
    <col min="7" max="7" width="36" style="1" customWidth="1"/>
  </cols>
  <sheetData>
    <row r="1" spans="1:7" ht="17.399999999999999" customHeight="1">
      <c r="A1" s="3" t="s">
        <v>46</v>
      </c>
    </row>
    <row r="3" spans="1:7" ht="29.85" customHeight="1">
      <c r="A3" s="9" t="s">
        <v>47</v>
      </c>
      <c r="B3" s="9" t="s">
        <v>48</v>
      </c>
      <c r="C3" s="9" t="s">
        <v>49</v>
      </c>
      <c r="D3" s="9" t="s">
        <v>50</v>
      </c>
      <c r="E3" s="9" t="s">
        <v>51</v>
      </c>
      <c r="F3" s="9" t="s">
        <v>52</v>
      </c>
      <c r="G3" s="9" t="s">
        <v>16</v>
      </c>
    </row>
    <row r="4" spans="1:7" ht="15" customHeight="1">
      <c r="A4" s="14" t="s">
        <v>53</v>
      </c>
      <c r="B4" s="15" t="s">
        <v>54</v>
      </c>
      <c r="C4" s="22">
        <v>-0.25</v>
      </c>
      <c r="D4" s="22">
        <v>-0.2</v>
      </c>
      <c r="E4" s="23">
        <f>IF(ISNUMBER(C4),IF($B4="%",C4*工数估算!$D$20,C4),"待定")</f>
        <v>-2.7124999999999999</v>
      </c>
      <c r="F4" s="23">
        <f>IF(ISNUMBER(D4),IF($B4="%",D4*工数估算!$D$20,D4),"待定")</f>
        <v>-2.17</v>
      </c>
      <c r="G4" s="14" t="s">
        <v>55</v>
      </c>
    </row>
    <row r="5" spans="1:7" ht="15" customHeight="1">
      <c r="A5" s="15" t="s">
        <v>56</v>
      </c>
      <c r="B5" s="14" t="s">
        <v>57</v>
      </c>
      <c r="C5" s="24">
        <v>1</v>
      </c>
      <c r="D5" s="24">
        <v>3</v>
      </c>
      <c r="E5" s="23">
        <f>IF(ISNUMBER(C5),IF($B5="%",C5*工数估算!$D$20,C5),"待定")</f>
        <v>1</v>
      </c>
      <c r="F5" s="23">
        <f>IF(ISNUMBER(D5),IF($B5="%",D5*工数估算!$D$20,D5),"待定")</f>
        <v>3</v>
      </c>
      <c r="G5" s="14"/>
    </row>
    <row r="6" spans="1:7" ht="15" customHeight="1">
      <c r="A6" s="14" t="s">
        <v>58</v>
      </c>
      <c r="B6" s="14" t="s">
        <v>57</v>
      </c>
      <c r="C6" s="24">
        <v>0.5</v>
      </c>
      <c r="D6" s="24">
        <v>0.5</v>
      </c>
      <c r="E6" s="23">
        <f>IF(ISNUMBER(C6),IF($B6="%",C6*工数估算!$D$20,C6),"待定")</f>
        <v>0.5</v>
      </c>
      <c r="F6" s="23">
        <f>IF(ISNUMBER(D6),IF($B6="%",D6*工数估算!$D$20,D6),"待定")</f>
        <v>0.5</v>
      </c>
      <c r="G6" s="14"/>
    </row>
    <row r="7" spans="1:7" ht="15" customHeight="1">
      <c r="A7" s="14" t="s">
        <v>59</v>
      </c>
      <c r="B7" s="14" t="s">
        <v>57</v>
      </c>
      <c r="C7" s="24">
        <v>2</v>
      </c>
      <c r="D7" s="24">
        <v>4</v>
      </c>
      <c r="E7" s="23">
        <f>IF(ISNUMBER(C7),IF($B7="%",C7*工数估算!$D$20,C7),"待定")</f>
        <v>2</v>
      </c>
      <c r="F7" s="23">
        <f>IF(ISNUMBER(D7),IF($B7="%",D7*工数估算!$D$20,D7),"待定")</f>
        <v>4</v>
      </c>
      <c r="G7" s="14" t="s">
        <v>60</v>
      </c>
    </row>
    <row r="8" spans="1:7" ht="15" customHeight="1">
      <c r="A8" s="15" t="s">
        <v>61</v>
      </c>
      <c r="B8" s="15" t="s">
        <v>62</v>
      </c>
      <c r="C8" s="25" t="s">
        <v>63</v>
      </c>
      <c r="D8" s="25" t="s">
        <v>63</v>
      </c>
      <c r="E8" s="23" t="str">
        <f>IF(ISNUMBER(C8),IF($B8="%",C8*工数估算!$D$20,C8),"待定")</f>
        <v>待定</v>
      </c>
      <c r="F8" s="23" t="str">
        <f>IF(ISNUMBER(D8),IF($B8="%",D8*工数估算!$D$20,D8),"待定")</f>
        <v>待定</v>
      </c>
      <c r="G8" s="14" t="s">
        <v>64</v>
      </c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zoomScaleNormal="100" workbookViewId="0"/>
  </sheetViews>
  <sheetFormatPr defaultColWidth="8.6640625" defaultRowHeight="14.4"/>
  <cols>
    <col min="1" max="1" width="12" style="1" customWidth="1"/>
    <col min="2" max="2" width="90" style="1" customWidth="1"/>
  </cols>
  <sheetData>
    <row r="1" spans="1:2" ht="17.399999999999999" customHeight="1">
      <c r="A1" s="3" t="s">
        <v>65</v>
      </c>
    </row>
    <row r="3" spans="1:2" ht="15" customHeight="1">
      <c r="A3" s="9" t="s">
        <v>66</v>
      </c>
      <c r="B3" s="9" t="s">
        <v>67</v>
      </c>
    </row>
    <row r="4" spans="1:2" ht="15" customHeight="1">
      <c r="A4" s="14" t="s">
        <v>68</v>
      </c>
      <c r="B4" s="15" t="s">
        <v>69</v>
      </c>
    </row>
    <row r="5" spans="1:2" ht="15" customHeight="1">
      <c r="A5" s="14" t="s">
        <v>68</v>
      </c>
      <c r="B5" s="15" t="s">
        <v>70</v>
      </c>
    </row>
    <row r="6" spans="1:2" ht="15" customHeight="1">
      <c r="A6" s="14" t="s">
        <v>68</v>
      </c>
      <c r="B6" s="15" t="s">
        <v>71</v>
      </c>
    </row>
    <row r="7" spans="1:2" ht="15" customHeight="1">
      <c r="A7" s="14" t="s">
        <v>68</v>
      </c>
      <c r="B7" s="14" t="s">
        <v>72</v>
      </c>
    </row>
    <row r="8" spans="1:2" ht="15" customHeight="1">
      <c r="A8" s="14" t="s">
        <v>68</v>
      </c>
      <c r="B8" s="14" t="s">
        <v>73</v>
      </c>
    </row>
    <row r="9" spans="1:2" ht="15" customHeight="1">
      <c r="A9" s="14" t="s">
        <v>74</v>
      </c>
      <c r="B9" s="15" t="s">
        <v>75</v>
      </c>
    </row>
    <row r="10" spans="1:2" ht="15" customHeight="1">
      <c r="A10" s="14" t="s">
        <v>74</v>
      </c>
      <c r="B10" s="15" t="s">
        <v>76</v>
      </c>
    </row>
    <row r="11" spans="1:2" ht="15" customHeight="1">
      <c r="A11" s="14" t="s">
        <v>74</v>
      </c>
      <c r="B11" s="14" t="s">
        <v>77</v>
      </c>
    </row>
    <row r="12" spans="1:2" ht="15" customHeight="1">
      <c r="A12" s="14" t="s">
        <v>74</v>
      </c>
      <c r="B12" s="15" t="s">
        <v>78</v>
      </c>
    </row>
    <row r="13" spans="1:2" ht="15" customHeight="1">
      <c r="A13" s="14" t="s">
        <v>74</v>
      </c>
      <c r="B13" s="15" t="s">
        <v>79</v>
      </c>
    </row>
    <row r="14" spans="1:2" ht="15" customHeight="1">
      <c r="A14" s="14" t="s">
        <v>74</v>
      </c>
      <c r="B14" s="14" t="s">
        <v>80</v>
      </c>
    </row>
  </sheetData>
  <phoneticPr fontId="1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pane ySplit="1" topLeftCell="A2" activePane="bottomLeft" state="frozen"/>
      <selection pane="bottomLeft" activeCell="C8" sqref="C8"/>
    </sheetView>
  </sheetViews>
  <sheetFormatPr defaultRowHeight="14.4"/>
  <cols>
    <col min="1" max="1" width="28" style="2" customWidth="1"/>
    <col min="2" max="2" width="36" style="2" customWidth="1"/>
    <col min="3" max="3" width="88" style="2" customWidth="1"/>
  </cols>
  <sheetData>
    <row r="1" spans="1:3" ht="22.05" customHeight="1">
      <c r="A1" s="26" t="s">
        <v>81</v>
      </c>
      <c r="B1" s="26" t="s">
        <v>82</v>
      </c>
      <c r="C1" s="26" t="s">
        <v>83</v>
      </c>
    </row>
    <row r="2" spans="1:3">
      <c r="A2" s="27" t="s">
        <v>84</v>
      </c>
      <c r="B2" s="27" t="s">
        <v>85</v>
      </c>
      <c r="C2" s="27" t="s">
        <v>86</v>
      </c>
    </row>
    <row r="3" spans="1:3">
      <c r="A3" s="28" t="s">
        <v>17</v>
      </c>
      <c r="B3" s="28" t="s">
        <v>87</v>
      </c>
      <c r="C3" s="28" t="s">
        <v>88</v>
      </c>
    </row>
    <row r="4" spans="1:3">
      <c r="A4" s="27" t="s">
        <v>89</v>
      </c>
      <c r="B4" s="27" t="s">
        <v>87</v>
      </c>
      <c r="C4" s="27" t="s">
        <v>90</v>
      </c>
    </row>
    <row r="5" spans="1:3">
      <c r="A5" s="28" t="s">
        <v>91</v>
      </c>
      <c r="B5" s="28" t="s">
        <v>92</v>
      </c>
      <c r="C5" s="28" t="s">
        <v>93</v>
      </c>
    </row>
    <row r="6" spans="1:3">
      <c r="A6" s="27" t="s">
        <v>94</v>
      </c>
      <c r="B6" s="27" t="s">
        <v>95</v>
      </c>
      <c r="C6" s="27" t="s">
        <v>96</v>
      </c>
    </row>
    <row r="7" spans="1:3">
      <c r="A7" s="28" t="s">
        <v>97</v>
      </c>
      <c r="B7" s="28" t="s">
        <v>87</v>
      </c>
      <c r="C7" s="28" t="s">
        <v>98</v>
      </c>
    </row>
    <row r="8" spans="1:3">
      <c r="A8" s="27" t="s">
        <v>99</v>
      </c>
      <c r="B8" s="27" t="s">
        <v>95</v>
      </c>
      <c r="C8" s="27" t="s">
        <v>100</v>
      </c>
    </row>
    <row r="9" spans="1:3">
      <c r="A9" s="28" t="s">
        <v>101</v>
      </c>
      <c r="B9" s="28" t="s">
        <v>102</v>
      </c>
      <c r="C9" s="28" t="s">
        <v>103</v>
      </c>
    </row>
    <row r="10" spans="1:3">
      <c r="A10" s="27" t="s">
        <v>28</v>
      </c>
      <c r="B10" s="27" t="s">
        <v>104</v>
      </c>
      <c r="C10" s="27" t="s">
        <v>105</v>
      </c>
    </row>
    <row r="11" spans="1:3">
      <c r="A11" s="28" t="s">
        <v>106</v>
      </c>
      <c r="B11" s="28" t="s">
        <v>107</v>
      </c>
      <c r="C11" s="28" t="s">
        <v>108</v>
      </c>
    </row>
    <row r="12" spans="1:3">
      <c r="A12" s="27" t="s">
        <v>109</v>
      </c>
      <c r="B12" s="27" t="s">
        <v>110</v>
      </c>
      <c r="C12" s="27" t="s">
        <v>111</v>
      </c>
    </row>
    <row r="13" spans="1:3">
      <c r="A13" s="28" t="s">
        <v>112</v>
      </c>
      <c r="B13" s="28" t="s">
        <v>113</v>
      </c>
      <c r="C13" s="28" t="s">
        <v>114</v>
      </c>
    </row>
    <row r="14" spans="1:3">
      <c r="A14" s="27" t="s">
        <v>115</v>
      </c>
      <c r="B14" s="27" t="s">
        <v>116</v>
      </c>
      <c r="C14" s="27" t="s">
        <v>117</v>
      </c>
    </row>
    <row r="15" spans="1:3">
      <c r="A15" s="28" t="s">
        <v>118</v>
      </c>
      <c r="B15" s="28" t="s">
        <v>116</v>
      </c>
      <c r="C15" s="28" t="s">
        <v>119</v>
      </c>
    </row>
  </sheetData>
  <autoFilter ref="A1:C15" xr:uid="{00000000-0009-0000-0000-000003000000}"/>
  <phoneticPr fontId="1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工数估算</vt:lpstr>
      <vt:lpstr>变动因素</vt:lpstr>
      <vt:lpstr>前提与待确认</vt:lpstr>
      <vt:lpstr>依据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cp:revision>0</cp:revision>
  <dcterms:created xsi:type="dcterms:W3CDTF">2026-10-02T08:24:39Z</dcterms:created>
  <dcterms:modified xsi:type="dcterms:W3CDTF">2026-10-03T06:27:04Z</dcterms:modified>
  <dc:language>en-US</dc:language>
</cp:coreProperties>
</file>