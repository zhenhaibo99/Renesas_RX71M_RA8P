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Story工数" sheetId="2" state="visible" r:id="rId2"/>
    <sheet xmlns:r="http://schemas.openxmlformats.org/officeDocument/2006/relationships" name="1名の日程" sheetId="3" state="visible" r:id="rId3"/>
    <sheet xmlns:r="http://schemas.openxmlformats.org/officeDocument/2006/relationships" name="3名の予算" sheetId="4" state="visible" r:id="rId4"/>
    <sheet xmlns:r="http://schemas.openxmlformats.org/officeDocument/2006/relationships" name="対照" sheetId="5" state="visible" r:id="rId5"/>
    <sheet xmlns:r="http://schemas.openxmlformats.org/officeDocument/2006/relationships" name="見積根拠" sheetId="6" state="visible" r:id="rId6"/>
  </sheets>
  <definedNames>
    <definedName name="_xlnm._FilterDatabase" localSheetId="1" hidden="1">'Story工数'!$A$1:$D$27</definedName>
    <definedName name="_xlnm._FilterDatabase" localSheetId="2" hidden="1">'1名の日程'!$A$1:$H$26</definedName>
    <definedName name="_xlnm._FilterDatabase" localSheetId="3" hidden="1">'3名の予算'!$A$1:$J$5</definedName>
    <definedName name="_xlnm._FilterDatabase" localSheetId="4" hidden="1">'対照'!$A$1:$C$10</definedName>
    <definedName name="_xlnm._FilterDatabase" localSheetId="5" hidden="1">'見積根拠'!$A$1:$C$26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1"/>
    </font>
    <font>
      <name val="Calibri"/>
      <b val="1"/>
      <color rgb="00FFFFFF"/>
    </font>
    <font>
      <name val="Calibri"/>
      <b val="1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9FB"/>
      </patternFill>
    </fill>
  </fills>
  <borders count="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BFCBD9"/>
      </left>
      <right style="thin">
        <color rgb="00BFCBD9"/>
      </right>
      <top style="thin">
        <color rgb="00BFCBD9"/>
      </top>
      <bottom style="thin">
        <color rgb="00BFCB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2" fillId="0" borderId="1" applyAlignment="1" pivotButton="0" quotePrefix="0" xfId="0">
      <alignment vertical="center" wrapText="1"/>
    </xf>
    <xf numFmtId="0" fontId="5" fillId="2" borderId="2" applyAlignment="1" pivotButton="0" quotePrefix="0" xfId="0">
      <alignment vertical="center" wrapText="1"/>
    </xf>
    <xf numFmtId="0" fontId="6" fillId="3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1" t="inlineStr">
        <is>
          <t>工数の説明</t>
        </is>
      </c>
    </row>
    <row r="3">
      <c r="A3" s="2" t="inlineStr">
        <is>
          <t>プロジェクト</t>
        </is>
      </c>
      <c r="B3" s="2" t="inlineStr">
        <is>
          <t>RX71M / RA8P と PC ホスト</t>
        </is>
      </c>
    </row>
    <row r="4">
      <c r="A4" s="2" t="inlineStr">
        <is>
          <t>1名の実行者</t>
        </is>
      </c>
      <c r="B4" s="2" t="inlineStr">
        <is>
          <t>3名構成の責任者 A。story はすべて単独で行う</t>
        </is>
      </c>
    </row>
    <row r="5">
      <c r="A5" s="2" t="inlineStr">
        <is>
          <t>工数単位</t>
        </is>
      </c>
      <c r="B5" s="2" t="inlineStr">
        <is>
          <t>1 人日 = 8 時間、1 人月 = 20 人日</t>
        </is>
      </c>
    </row>
    <row r="6">
      <c r="A6" s="2" t="inlineStr">
        <is>
          <t>開始日</t>
        </is>
      </c>
      <c r="B6" s="2" t="inlineStr">
        <is>
          <t>2026-11-02</t>
        </is>
      </c>
    </row>
    <row r="7">
      <c r="A7" s="2" t="inlineStr">
        <is>
          <t>1名の管理</t>
        </is>
      </c>
      <c r="B7" s="2" t="inlineStr">
        <is>
          <t>各イテレーション 2 人日。3名のとき A は 3 人日。減る 1 人日は B と C を率いる分</t>
        </is>
      </c>
    </row>
    <row r="8">
      <c r="A8" s="2" t="inlineStr">
        <is>
          <t>1名の開発</t>
        </is>
      </c>
      <c r="B8" s="2" t="inlineStr">
        <is>
          <t>各イテレーション 6 人日、24 回。開発枠 144、story 139、余り 5</t>
        </is>
      </c>
    </row>
    <row r="9">
      <c r="A9" s="2" t="inlineStr">
        <is>
          <t>1名の見積</t>
        </is>
      </c>
      <c r="B9" s="2" t="inlineStr">
        <is>
          <t>240 人日 = 管理 48 + 開発 144 + 共通間接 48</t>
        </is>
      </c>
    </row>
    <row r="10">
      <c r="A10" s="2" t="inlineStr">
        <is>
          <t>3名の見積</t>
        </is>
      </c>
      <c r="B10" s="2" t="inlineStr">
        <is>
          <t>240 人日 = A 管理 24 + A 開発 40 + B 開発 64 + C 開発 64 + 共通間接 48</t>
        </is>
      </c>
    </row>
    <row r="11">
      <c r="A11" s="2" t="inlineStr">
        <is>
          <t>式</t>
        </is>
      </c>
      <c r="B11" s="2" t="inlineStr">
        <is>
          <t>見積人日 = 人数 × イテレーション数 × 10。管理は責任者だけに掛け、全員には掛けない</t>
        </is>
      </c>
    </row>
    <row r="12">
      <c r="A12" t="inlineStr">
        <is>
          <t>根拠</t>
        </is>
      </c>
      <c r="B12" t="inlineStr">
        <is>
          <t>第 8 節およびシート「見積根拠」。人日は変えていない。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2" customWidth="1" min="4" max="4"/>
    <col width="72" customWidth="1" min="5" max="5"/>
  </cols>
  <sheetData>
    <row r="1" ht="22" customHeight="1">
      <c r="A1" s="3" t="inlineStr">
        <is>
          <t>エピック</t>
        </is>
      </c>
      <c r="B1" s="3" t="inlineStr">
        <is>
          <t>番号</t>
        </is>
      </c>
      <c r="C1" s="3" t="inlineStr">
        <is>
          <t>説明</t>
        </is>
      </c>
      <c r="D1" s="3" t="inlineStr">
        <is>
          <t>人日</t>
        </is>
      </c>
      <c r="E1" s="6" t="inlineStr">
        <is>
          <t>根拠</t>
        </is>
      </c>
    </row>
    <row r="2">
      <c r="A2" s="2" t="inlineStr">
        <is>
          <t>E0</t>
        </is>
      </c>
      <c r="B2" s="2" t="inlineStr">
        <is>
          <t>E0-S1</t>
        </is>
      </c>
      <c r="C2" s="2" t="inlineStr">
        <is>
          <t>受け入れ仮定を1枚に書く</t>
        </is>
      </c>
      <c r="D2" s="2" t="n">
        <v>1</v>
      </c>
      <c r="E2" s="7" t="inlineStr">
        <is>
          <t>受け入れ仮定を 1 枚書く。製品コードはない。書くことと読み返すことで理想時間 1 日。</t>
        </is>
      </c>
    </row>
    <row r="3">
      <c r="A3" s="2" t="inlineStr">
        <is>
          <t>E0</t>
        </is>
      </c>
      <c r="B3" s="2" t="inlineStr">
        <is>
          <t>E0-S2</t>
        </is>
      </c>
      <c r="C3" s="2" t="inlineStr">
        <is>
          <t>既存 HL1 の特徴テストを補う</t>
        </is>
      </c>
      <c r="D3" s="2" t="n">
        <v>3</v>
      </c>
      <c r="E3" s="7" t="inlineStr">
        <is>
          <t>既にあるフレームへ失敗する試験を足す。C と Pascal の二系統。ベクトル、失敗の確認、アサーションで 3 日。</t>
        </is>
      </c>
    </row>
    <row r="4">
      <c r="A4" s="2" t="inlineStr">
        <is>
          <t>E0</t>
        </is>
      </c>
      <c r="B4" s="2" t="inlineStr">
        <is>
          <t>E0-S4</t>
        </is>
      </c>
      <c r="C4" s="2" t="inlineStr">
        <is>
          <t>セルフホストランナーを登録する</t>
        </is>
      </c>
      <c r="D4" s="2" t="n">
        <v>2</v>
      </c>
      <c r="E4" s="7" t="inlineStr">
        <is>
          <t>セルフホストランナーを登録し、ファームウェア作業が緑になるところまで。makefile の絶対パスという既知の失敗があるため、登録だけでは 1 日にならない。</t>
        </is>
      </c>
    </row>
    <row r="5">
      <c r="A5" s="2" t="inlineStr">
        <is>
          <t>E0</t>
        </is>
      </c>
      <c r="B5" s="2" t="inlineStr">
        <is>
          <t>E0-S5</t>
        </is>
      </c>
      <c r="C5" s="2" t="inlineStr">
        <is>
          <t>board_resources を周辺機能ごとに分割する</t>
        </is>
      </c>
      <c r="D5" s="2" t="n">
        <v>5</v>
      </c>
      <c r="E5" s="7" t="inlineStr">
        <is>
          <t>二つのプロジェクトを周辺機能ごとに移し、振舞いを保ったまま Debug と Release をビルドする。再構築であり新機能ではない。理想時間 5 日。</t>
        </is>
      </c>
    </row>
    <row r="6">
      <c r="A6" s="2" t="inlineStr">
        <is>
          <t>E0</t>
        </is>
      </c>
      <c r="B6" s="2" t="inlineStr">
        <is>
          <t>E0-S3</t>
        </is>
      </c>
      <c r="C6" s="2" t="inlineStr">
        <is>
          <t>既存機能の P1 実機基線</t>
        </is>
      </c>
      <c r="D6" s="2" t="n">
        <v>12</v>
      </c>
      <c r="E6" s="7" t="inlineStr">
        <is>
          <t>システム試験の環境 3.0 人日に、P1 実機 70 時間（8.75 人日）を足すと 11.75。整数の story として 12。P2、長時間、再試験の 3 人日は入れない。</t>
        </is>
      </c>
    </row>
    <row r="7">
      <c r="A7" s="2" t="inlineStr">
        <is>
          <t>E1</t>
        </is>
      </c>
      <c r="B7" s="2" t="inlineStr">
        <is>
          <t>E1-S1</t>
        </is>
      </c>
      <c r="C7" s="2" t="inlineStr">
        <is>
          <t>RX の PWM をリソース表と一致させる</t>
        </is>
      </c>
      <c r="D7" s="2" t="n">
        <v>3</v>
      </c>
      <c r="E7" s="7" t="inlineStr">
        <is>
          <t>RX の比較レジスタ四路だけを直し、波形を確認する。RA は変えない。失敗する試験と実測を含む。システム試験の PWM 波形だけでも 8 時間の規模がある。</t>
        </is>
      </c>
    </row>
    <row r="8">
      <c r="A8" s="2" t="inlineStr">
        <is>
          <t>E2</t>
        </is>
      </c>
      <c r="B8" s="2" t="inlineStr">
        <is>
          <t>E2-S1</t>
        </is>
      </c>
      <c r="C8" s="2" t="inlineStr">
        <is>
          <t>SPI 交換コマンド</t>
        </is>
      </c>
      <c r="D8" s="2" t="n">
        <v>5</v>
      </c>
      <c r="E8" s="7" t="inlineStr">
        <is>
          <t>この系列の最初のコマンド。proto、C、Pascal の基準バイトと二つの基板を触る。5 日は、後続が再利用する型を作る分。</t>
        </is>
      </c>
    </row>
    <row r="9">
      <c r="A9" s="2" t="inlineStr">
        <is>
          <t>E2</t>
        </is>
      </c>
      <c r="B9" s="2" t="inlineStr">
        <is>
          <t>E2-S2</t>
        </is>
      </c>
      <c r="C9" s="2" t="inlineStr">
        <is>
          <t>I2C 書き込みコマンド</t>
        </is>
      </c>
      <c r="D9" s="2" t="n">
        <v>4</v>
      </c>
      <c r="E9" s="7" t="inlineStr">
        <is>
          <t>型は E2-S1 にある。ここではアドレスと 1 バイトを足し、不正アドレスの失敗を先に置く。最初の八割として 4 日。</t>
        </is>
      </c>
    </row>
    <row r="10">
      <c r="A10" s="2" t="inlineStr">
        <is>
          <t>E2</t>
        </is>
      </c>
      <c r="B10" s="2" t="inlineStr">
        <is>
          <t>E2-S3</t>
        </is>
      </c>
      <c r="C10" s="2" t="inlineStr">
        <is>
          <t>LIN Break のあと指定データを送る</t>
        </is>
      </c>
      <c r="D10" s="2" t="n">
        <v>4</v>
      </c>
      <c r="E10" s="7" t="inlineStr">
        <is>
          <t>同じく後続。デモはすでに Break と 0x55 を出す。ホストが渡したバイトへ変える。4 日。</t>
        </is>
      </c>
    </row>
    <row r="11">
      <c r="A11" s="2" t="inlineStr">
        <is>
          <t>E2</t>
        </is>
      </c>
      <c r="B11" s="2" t="inlineStr">
        <is>
          <t>E2-S4</t>
        </is>
      </c>
      <c r="C11" s="2" t="inlineStr">
        <is>
          <t>ホストのシリアル三コマンド</t>
        </is>
      </c>
      <c r="D11" s="2" t="n">
        <v>3</v>
      </c>
      <c r="E11" s="7" t="inlineStr">
        <is>
          <t>三つのコマンドを、一回の画面修正と一組の基準ベクトルにまとめる。プロトコルの手間を三度払わない。3 日。</t>
        </is>
      </c>
    </row>
    <row r="12">
      <c r="A12" s="2" t="inlineStr">
        <is>
          <t>E3</t>
        </is>
      </c>
      <c r="B12" s="2" t="inlineStr">
        <is>
          <t>E3-S1</t>
        </is>
      </c>
      <c r="C12" s="2" t="inlineStr">
        <is>
          <t>RX がクラシック CAN を受信する</t>
        </is>
      </c>
      <c r="D12" s="2" t="n">
        <v>8</v>
      </c>
      <c r="E12" s="7" t="inlineStr">
        <is>
          <t>送信経路はある。増えるのは受信メールボックス、CanLog、アナライザでの実機。新しいハードウェア経路として 8 日。RA と折半しない。</t>
        </is>
      </c>
    </row>
    <row r="13">
      <c r="A13" s="2" t="inlineStr">
        <is>
          <t>E3</t>
        </is>
      </c>
      <c r="B13" s="2" t="inlineStr">
        <is>
          <t>E3-S3</t>
        </is>
      </c>
      <c r="C13" s="2" t="inlineStr">
        <is>
          <t>11 ビット ID フィルタ</t>
        </is>
      </c>
      <c r="D13" s="2" t="n">
        <v>5</v>
      </c>
      <c r="E13" s="7" t="inlineStr">
        <is>
          <t>受信経路のあとでフィルタを行う。通過と拒否の二つのベクトルと、両側の実装。新しい受信経路より少ない 5 日。</t>
        </is>
      </c>
    </row>
    <row r="14">
      <c r="A14" s="2" t="inlineStr">
        <is>
          <t>E3</t>
        </is>
      </c>
      <c r="B14" s="2" t="inlineStr">
        <is>
          <t>E3-S2</t>
        </is>
      </c>
      <c r="C14" s="2" t="inlineStr">
        <is>
          <t>RA がクラシックと CAN FD を受信する</t>
        </is>
      </c>
      <c r="D14" s="2" t="n">
        <v>8</v>
      </c>
      <c r="E14" s="7" t="inlineStr">
        <is>
          <t>CAN FD のメールボックスはクラシック CAN と同じレジスタではない。RX の 8 日は流用できない。RA でさらに 8 日。</t>
        </is>
      </c>
    </row>
    <row r="15">
      <c r="A15" s="2" t="inlineStr">
        <is>
          <t>E4</t>
        </is>
      </c>
      <c r="B15" s="2" t="inlineStr">
        <is>
          <t>E4-S1</t>
        </is>
      </c>
      <c r="C15" s="2" t="inlineStr">
        <is>
          <t>256 フレームの RAM リング</t>
        </is>
      </c>
      <c r="D15" s="2" t="n">
        <v>6</v>
      </c>
      <c r="E15" s="7" t="inlineStr">
        <is>
          <t>リングは先にホストで同じベクトルを通し、ファームウェアはそれを呼ぶ。256 フレーム、最古を上書き、電源断で消える。Flash を作らないので記憶ドライバの工数ではない。6 日。</t>
        </is>
      </c>
    </row>
    <row r="16">
      <c r="A16" s="2" t="inlineStr">
        <is>
          <t>E4</t>
        </is>
      </c>
      <c r="B16" s="2" t="inlineStr">
        <is>
          <t>E4-S3</t>
        </is>
      </c>
      <c r="C16" s="2" t="inlineStr">
        <is>
          <t>送受信を格納し、接続後に送る</t>
        </is>
      </c>
      <c r="D16" s="2" t="n">
        <v>3</v>
      </c>
      <c r="E16" s="7" t="inlineStr">
        <is>
          <t>送受信の経路はある。フレームをバッファへ入れ、未接続では送らない。統合として 3 日。</t>
        </is>
      </c>
    </row>
    <row r="17">
      <c r="A17" s="2" t="inlineStr">
        <is>
          <t>E4</t>
        </is>
      </c>
      <c r="B17" s="2" t="inlineStr">
        <is>
          <t>E4-S2</t>
        </is>
      </c>
      <c r="C17" s="2" t="inlineStr">
        <is>
          <t>ホストがページ読みと消去を行う</t>
        </is>
      </c>
      <c r="D17" s="2" t="n">
        <v>5</v>
      </c>
      <c r="E17" s="7" t="inlineStr">
        <is>
          <t>ページと消去は新しい符号化である。基準バイトを先に失敗させ、その後通す。基板側の格納は E4-S3。ここは 5 日。</t>
        </is>
      </c>
    </row>
    <row r="18">
      <c r="A18" s="2" t="inlineStr">
        <is>
          <t>E5</t>
        </is>
      </c>
      <c r="B18" s="2" t="inlineStr">
        <is>
          <t>E5-S1</t>
        </is>
      </c>
      <c r="C18" s="2" t="inlineStr">
        <is>
          <t>RX の USB-CDC が HL1 を運ぶ</t>
        </is>
      </c>
      <c r="D18" s="2" t="n">
        <v>8</v>
      </c>
      <c r="E18" s="7" t="inlineStr">
        <is>
          <t>現状は USB クロックと D+ のプルアップだけである。8 日は、同じ HL1 バイトを運ぶデバイス側のパイプまで。USB 認証も高スループットも含まない。パーサは E0-S2 を再利用する。</t>
        </is>
      </c>
    </row>
    <row r="19">
      <c r="A19" s="2" t="inlineStr">
        <is>
          <t>E5</t>
        </is>
      </c>
      <c r="B19" s="2" t="inlineStr">
        <is>
          <t>E5-S2</t>
        </is>
      </c>
      <c r="C19" s="2" t="inlineStr">
        <is>
          <t>RA の USB-CDC が HL1 を運ぶ</t>
        </is>
      </c>
      <c r="D19" s="2" t="n">
        <v>8</v>
      </c>
      <c r="E19" s="7" t="inlineStr">
        <is>
          <t>RA の USB コントローラは RX と異なる。さらに 8 日。UART を受け入れ経路に残すので、この 8 日が失敗しても計画全体は止めない。</t>
        </is>
      </c>
    </row>
    <row r="20">
      <c r="A20" s="2" t="inlineStr">
        <is>
          <t>E5</t>
        </is>
      </c>
      <c r="B20" s="2" t="inlineStr">
        <is>
          <t>E5-S3</t>
        </is>
      </c>
      <c r="C20" s="2" t="inlineStr">
        <is>
          <t>ホストが COM と CDC を選ぶ</t>
        </is>
      </c>
      <c r="D20" s="2" t="n">
        <v>4</v>
      </c>
      <c r="E20" s="7" t="inlineStr">
        <is>
          <t>フレーム形式は変えない。符号化の試験は元の一式。COM と CDC の選択だけを足す。4 日。</t>
        </is>
      </c>
    </row>
    <row r="21">
      <c r="A21" s="2" t="inlineStr">
        <is>
          <t>E6</t>
        </is>
      </c>
      <c r="B21" s="2" t="inlineStr">
        <is>
          <t>E6-S1</t>
        </is>
      </c>
      <c r="C21" s="2" t="inlineStr">
        <is>
          <t>UDP インタフェースを確認する</t>
        </is>
      </c>
      <c r="D21" s="2" t="n">
        <v>1</v>
      </c>
      <c r="E21" s="7" t="inlineStr">
        <is>
          <t>PHY アドレス、アドレスファミリ、ポートは顧客未確認。後続の試験が参照するインタフェース説明を 1 枚。1 日であり、プロトコルスタックではない。</t>
        </is>
      </c>
    </row>
    <row r="22">
      <c r="A22" s="2" t="inlineStr">
        <is>
          <t>E6</t>
        </is>
      </c>
      <c r="B22" s="2" t="inlineStr">
        <is>
          <t>E6-S2</t>
        </is>
      </c>
      <c r="C22" s="2" t="inlineStr">
        <is>
          <t>RX が RMII で UDP を周期送信する</t>
        </is>
      </c>
      <c r="D22" s="2" t="n">
        <v>10</v>
      </c>
      <c r="E22" s="7" t="inlineStr">
        <is>
          <t>MAC アドレスと送受信イネーブルは書いてある。10 日は、静的アドレス上の周期 UDP 状態パケット一つまで。TCP、Web、TLS はない。</t>
        </is>
      </c>
    </row>
    <row r="23">
      <c r="A23" s="2" t="inlineStr">
        <is>
          <t>E6</t>
        </is>
      </c>
      <c r="B23" s="2" t="inlineStr">
        <is>
          <t>E6-S3</t>
        </is>
      </c>
      <c r="C23" s="2" t="inlineStr">
        <is>
          <t>RA が RGMII で UDP を周期送信する</t>
        </is>
      </c>
      <c r="D23" s="2" t="n">
        <v>12</v>
      </c>
      <c r="E23" s="7" t="inlineStr">
        <is>
          <t>バイト配置は RX の試験を再利用する。メッセージをゼロから設計し直さない。RGMII と PHY は未確認なので RX より 2 日多く、合計 12 日。PHY が未準備ならバイト試験で止め、リリース日は動かさない。</t>
        </is>
      </c>
    </row>
    <row r="24">
      <c r="A24" s="2" t="inlineStr">
        <is>
          <t>E6</t>
        </is>
      </c>
      <c r="B24" s="2" t="inlineStr">
        <is>
          <t>E6-S4</t>
        </is>
      </c>
      <c r="C24" s="2" t="inlineStr">
        <is>
          <t>ホストが UDP を表示する</t>
        </is>
      </c>
      <c r="D24" s="2" t="n">
        <v>4</v>
      </c>
      <c r="E24" s="7" t="inlineStr">
        <is>
          <t>録音した UDP パケットで画面を動かす。HL1 のコマンド経路は置き換えない。CDC の選択と同じ規模で 4 日。</t>
        </is>
      </c>
    </row>
    <row r="25">
      <c r="A25" s="2" t="inlineStr">
        <is>
          <t>E7</t>
        </is>
      </c>
      <c r="B25" s="2" t="inlineStr">
        <is>
          <t>E7-S1</t>
        </is>
      </c>
      <c r="C25" s="2" t="inlineStr">
        <is>
          <t>リリース前の P1 回帰</t>
        </is>
      </c>
      <c r="D25" s="2" t="n">
        <v>12</v>
      </c>
      <c r="E25" s="7" t="inlineStr">
        <is>
          <t>各 story は自分の実機受け入れをすでに含む。ここはリリース前にもう一度既存 P1 を行い、新しいコマンドを抜き取る。やはり 12 日。現行試験の 18.5 人日を重ねては足さない。</t>
        </is>
      </c>
    </row>
    <row r="26">
      <c r="A26" s="2" t="inlineStr">
        <is>
          <t>E7</t>
        </is>
      </c>
      <c r="B26" s="2" t="inlineStr">
        <is>
          <t>E7-S2</t>
        </is>
      </c>
      <c r="C26" s="2" t="inlineStr">
        <is>
          <t>文書と v* タグ</t>
        </is>
      </c>
      <c r="D26" s="2" t="n">
        <v>3</v>
      </c>
      <c r="E26" s="7" t="inlineStr">
        <is>
          <t>日中の文書の本体はすでにリポジトリにある。3 日は、動作の変化を反映し、タグを打ち、リリース成果物を確認する分。仕様をゼロから書く日数ではない。</t>
        </is>
      </c>
    </row>
    <row r="27">
      <c r="A27" s="2" t="inlineStr"/>
      <c r="B27" s="2" t="inlineStr"/>
      <c r="C27" s="2" t="inlineStr">
        <is>
          <t>合計</t>
        </is>
      </c>
      <c r="D27" s="4">
        <f>SUM(D2:D26)</f>
        <v/>
      </c>
    </row>
  </sheetData>
  <autoFilter ref="A1:D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5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3" t="inlineStr">
        <is>
          <t>イテレーション</t>
        </is>
      </c>
      <c r="B1" s="3" t="inlineStr">
        <is>
          <t>開始</t>
        </is>
      </c>
      <c r="C1" s="3" t="inlineStr">
        <is>
          <t>終了</t>
        </is>
      </c>
      <c r="D1" s="3" t="inlineStr">
        <is>
          <t>story</t>
        </is>
      </c>
      <c r="E1" s="3" t="inlineStr">
        <is>
          <t>story人日</t>
        </is>
      </c>
      <c r="F1" s="3" t="inlineStr">
        <is>
          <t>管理人日</t>
        </is>
      </c>
      <c r="G1" s="3" t="inlineStr">
        <is>
          <t>共通間接</t>
        </is>
      </c>
      <c r="H1" s="3" t="inlineStr">
        <is>
          <t>出勤人日</t>
        </is>
      </c>
    </row>
    <row r="2">
      <c r="A2" s="2" t="n">
        <v>1</v>
      </c>
      <c r="B2" s="2" t="inlineStr">
        <is>
          <t>2026-11-02</t>
        </is>
      </c>
      <c r="C2" s="2" t="inlineStr">
        <is>
          <t>2026-11-13</t>
        </is>
      </c>
      <c r="D2" s="2" t="inlineStr">
        <is>
          <t>E0-S1、E0-S2、E0-S4</t>
        </is>
      </c>
      <c r="E2" s="2" t="n">
        <v>6</v>
      </c>
      <c r="F2" s="2" t="n">
        <v>2</v>
      </c>
      <c r="G2" s="2" t="n">
        <v>2</v>
      </c>
      <c r="H2" s="2" t="n">
        <v>10</v>
      </c>
    </row>
    <row r="3">
      <c r="A3" s="2" t="n">
        <v>2</v>
      </c>
      <c r="B3" s="2" t="inlineStr">
        <is>
          <t>2026-11-16</t>
        </is>
      </c>
      <c r="C3" s="2" t="inlineStr">
        <is>
          <t>2026-11-27</t>
        </is>
      </c>
      <c r="D3" s="2" t="inlineStr">
        <is>
          <t>E0-S5、E0-S3 開始（1/12）</t>
        </is>
      </c>
      <c r="E3" s="2" t="n">
        <v>6</v>
      </c>
      <c r="F3" s="2" t="n">
        <v>2</v>
      </c>
      <c r="G3" s="2" t="n">
        <v>2</v>
      </c>
      <c r="H3" s="2" t="n">
        <v>10</v>
      </c>
    </row>
    <row r="4">
      <c r="A4" s="2" t="n">
        <v>3</v>
      </c>
      <c r="B4" s="2" t="inlineStr">
        <is>
          <t>2026-11-30</t>
        </is>
      </c>
      <c r="C4" s="2" t="inlineStr">
        <is>
          <t>2026-12-11</t>
        </is>
      </c>
      <c r="D4" s="2" t="inlineStr">
        <is>
          <t>E0-S3 継続（6/12）</t>
        </is>
      </c>
      <c r="E4" s="2" t="n">
        <v>6</v>
      </c>
      <c r="F4" s="2" t="n">
        <v>2</v>
      </c>
      <c r="G4" s="2" t="n">
        <v>2</v>
      </c>
      <c r="H4" s="2" t="n">
        <v>10</v>
      </c>
    </row>
    <row r="5">
      <c r="A5" s="2" t="n">
        <v>4</v>
      </c>
      <c r="B5" s="2" t="inlineStr">
        <is>
          <t>2026-12-14</t>
        </is>
      </c>
      <c r="C5" s="2" t="inlineStr">
        <is>
          <t>2026-12-25</t>
        </is>
      </c>
      <c r="D5" s="2" t="inlineStr">
        <is>
          <t>E0-S3 完了（5/12）、E1-S1 開始（1/3）</t>
        </is>
      </c>
      <c r="E5" s="2" t="n">
        <v>6</v>
      </c>
      <c r="F5" s="2" t="n">
        <v>2</v>
      </c>
      <c r="G5" s="2" t="n">
        <v>2</v>
      </c>
      <c r="H5" s="2" t="n">
        <v>10</v>
      </c>
    </row>
    <row r="6">
      <c r="A6" s="2" t="n">
        <v>5</v>
      </c>
      <c r="B6" s="2" t="inlineStr">
        <is>
          <t>2026-12-28</t>
        </is>
      </c>
      <c r="C6" s="2" t="inlineStr">
        <is>
          <t>2027-01-08</t>
        </is>
      </c>
      <c r="D6" s="2" t="inlineStr">
        <is>
          <t>E1-S1 完了（2/3）、E2-S1 開始（4/5）</t>
        </is>
      </c>
      <c r="E6" s="2" t="n">
        <v>6</v>
      </c>
      <c r="F6" s="2" t="n">
        <v>2</v>
      </c>
      <c r="G6" s="2" t="n">
        <v>2</v>
      </c>
      <c r="H6" s="2" t="n">
        <v>10</v>
      </c>
    </row>
    <row r="7">
      <c r="A7" s="2" t="n">
        <v>6</v>
      </c>
      <c r="B7" s="2" t="inlineStr">
        <is>
          <t>2027-01-11</t>
        </is>
      </c>
      <c r="C7" s="2" t="inlineStr">
        <is>
          <t>2027-01-22</t>
        </is>
      </c>
      <c r="D7" s="2" t="inlineStr">
        <is>
          <t>E2-S1 完了（1/5）、E2-S2、E2-S3 開始（1/4）</t>
        </is>
      </c>
      <c r="E7" s="2" t="n">
        <v>6</v>
      </c>
      <c r="F7" s="2" t="n">
        <v>2</v>
      </c>
      <c r="G7" s="2" t="n">
        <v>2</v>
      </c>
      <c r="H7" s="2" t="n">
        <v>10</v>
      </c>
    </row>
    <row r="8">
      <c r="A8" s="2" t="n">
        <v>7</v>
      </c>
      <c r="B8" s="2" t="inlineStr">
        <is>
          <t>2027-01-25</t>
        </is>
      </c>
      <c r="C8" s="2" t="inlineStr">
        <is>
          <t>2027-02-05</t>
        </is>
      </c>
      <c r="D8" s="2" t="inlineStr">
        <is>
          <t>E2-S3 完了（3/4）、E2-S4</t>
        </is>
      </c>
      <c r="E8" s="2" t="n">
        <v>6</v>
      </c>
      <c r="F8" s="2" t="n">
        <v>2</v>
      </c>
      <c r="G8" s="2" t="n">
        <v>2</v>
      </c>
      <c r="H8" s="2" t="n">
        <v>10</v>
      </c>
    </row>
    <row r="9">
      <c r="A9" s="2" t="n">
        <v>8</v>
      </c>
      <c r="B9" s="2" t="inlineStr">
        <is>
          <t>2027-02-08</t>
        </is>
      </c>
      <c r="C9" s="2" t="inlineStr">
        <is>
          <t>2027-02-19</t>
        </is>
      </c>
      <c r="D9" s="2" t="inlineStr">
        <is>
          <t>E3-S1 開始（6/8）</t>
        </is>
      </c>
      <c r="E9" s="2" t="n">
        <v>6</v>
      </c>
      <c r="F9" s="2" t="n">
        <v>2</v>
      </c>
      <c r="G9" s="2" t="n">
        <v>2</v>
      </c>
      <c r="H9" s="2" t="n">
        <v>10</v>
      </c>
    </row>
    <row r="10">
      <c r="A10" s="2" t="n">
        <v>9</v>
      </c>
      <c r="B10" s="2" t="inlineStr">
        <is>
          <t>2027-02-22</t>
        </is>
      </c>
      <c r="C10" s="2" t="inlineStr">
        <is>
          <t>2027-03-05</t>
        </is>
      </c>
      <c r="D10" s="2" t="inlineStr">
        <is>
          <t>E3-S1 完了（2/8）、E3-S3 開始（4/5）</t>
        </is>
      </c>
      <c r="E10" s="2" t="n">
        <v>6</v>
      </c>
      <c r="F10" s="2" t="n">
        <v>2</v>
      </c>
      <c r="G10" s="2" t="n">
        <v>2</v>
      </c>
      <c r="H10" s="2" t="n">
        <v>10</v>
      </c>
    </row>
    <row r="11">
      <c r="A11" s="2" t="n">
        <v>10</v>
      </c>
      <c r="B11" s="2" t="inlineStr">
        <is>
          <t>2027-03-08</t>
        </is>
      </c>
      <c r="C11" s="2" t="inlineStr">
        <is>
          <t>2027-03-19</t>
        </is>
      </c>
      <c r="D11" s="2" t="inlineStr">
        <is>
          <t>E3-S3 完了（1/5）、E3-S2 開始（5/8）</t>
        </is>
      </c>
      <c r="E11" s="2" t="n">
        <v>6</v>
      </c>
      <c r="F11" s="2" t="n">
        <v>2</v>
      </c>
      <c r="G11" s="2" t="n">
        <v>2</v>
      </c>
      <c r="H11" s="2" t="n">
        <v>10</v>
      </c>
    </row>
    <row r="12">
      <c r="A12" s="2" t="n">
        <v>11</v>
      </c>
      <c r="B12" s="2" t="inlineStr">
        <is>
          <t>2027-03-22</t>
        </is>
      </c>
      <c r="C12" s="2" t="inlineStr">
        <is>
          <t>2027-04-02</t>
        </is>
      </c>
      <c r="D12" s="2" t="inlineStr">
        <is>
          <t>E3-S2 完了（3/8）、E4-S1 開始（3/6）</t>
        </is>
      </c>
      <c r="E12" s="2" t="n">
        <v>6</v>
      </c>
      <c r="F12" s="2" t="n">
        <v>2</v>
      </c>
      <c r="G12" s="2" t="n">
        <v>2</v>
      </c>
      <c r="H12" s="2" t="n">
        <v>10</v>
      </c>
    </row>
    <row r="13">
      <c r="A13" s="2" t="n">
        <v>12</v>
      </c>
      <c r="B13" s="2" t="inlineStr">
        <is>
          <t>2027-04-05</t>
        </is>
      </c>
      <c r="C13" s="2" t="inlineStr">
        <is>
          <t>2027-04-16</t>
        </is>
      </c>
      <c r="D13" s="2" t="inlineStr">
        <is>
          <t>E4-S1 完了（3/6）、E4-S3</t>
        </is>
      </c>
      <c r="E13" s="2" t="n">
        <v>6</v>
      </c>
      <c r="F13" s="2" t="n">
        <v>2</v>
      </c>
      <c r="G13" s="2" t="n">
        <v>2</v>
      </c>
      <c r="H13" s="2" t="n">
        <v>10</v>
      </c>
    </row>
    <row r="14">
      <c r="A14" s="2" t="n">
        <v>13</v>
      </c>
      <c r="B14" s="2" t="inlineStr">
        <is>
          <t>2027-04-19</t>
        </is>
      </c>
      <c r="C14" s="2" t="inlineStr">
        <is>
          <t>2027-04-30</t>
        </is>
      </c>
      <c r="D14" s="2" t="inlineStr">
        <is>
          <t>E4-S2、E5-S1 開始（1/8）</t>
        </is>
      </c>
      <c r="E14" s="2" t="n">
        <v>6</v>
      </c>
      <c r="F14" s="2" t="n">
        <v>2</v>
      </c>
      <c r="G14" s="2" t="n">
        <v>2</v>
      </c>
      <c r="H14" s="2" t="n">
        <v>10</v>
      </c>
    </row>
    <row r="15">
      <c r="A15" s="2" t="n">
        <v>14</v>
      </c>
      <c r="B15" s="2" t="inlineStr">
        <is>
          <t>2027-05-03</t>
        </is>
      </c>
      <c r="C15" s="2" t="inlineStr">
        <is>
          <t>2027-05-14</t>
        </is>
      </c>
      <c r="D15" s="2" t="inlineStr">
        <is>
          <t>E5-S1 継続（6/8）</t>
        </is>
      </c>
      <c r="E15" s="2" t="n">
        <v>6</v>
      </c>
      <c r="F15" s="2" t="n">
        <v>2</v>
      </c>
      <c r="G15" s="2" t="n">
        <v>2</v>
      </c>
      <c r="H15" s="2" t="n">
        <v>10</v>
      </c>
    </row>
    <row r="16">
      <c r="A16" s="2" t="n">
        <v>15</v>
      </c>
      <c r="B16" s="2" t="inlineStr">
        <is>
          <t>2027-05-17</t>
        </is>
      </c>
      <c r="C16" s="2" t="inlineStr">
        <is>
          <t>2027-05-28</t>
        </is>
      </c>
      <c r="D16" s="2" t="inlineStr">
        <is>
          <t>E5-S1 完了（1/8）、E5-S2 開始（5/8）</t>
        </is>
      </c>
      <c r="E16" s="2" t="n">
        <v>6</v>
      </c>
      <c r="F16" s="2" t="n">
        <v>2</v>
      </c>
      <c r="G16" s="2" t="n">
        <v>2</v>
      </c>
      <c r="H16" s="2" t="n">
        <v>10</v>
      </c>
    </row>
    <row r="17">
      <c r="A17" s="2" t="n">
        <v>16</v>
      </c>
      <c r="B17" s="2" t="inlineStr">
        <is>
          <t>2027-05-31</t>
        </is>
      </c>
      <c r="C17" s="2" t="inlineStr">
        <is>
          <t>2027-06-11</t>
        </is>
      </c>
      <c r="D17" s="2" t="inlineStr">
        <is>
          <t>E5-S2 完了（3/8）、E5-S3 開始（3/4）</t>
        </is>
      </c>
      <c r="E17" s="2" t="n">
        <v>6</v>
      </c>
      <c r="F17" s="2" t="n">
        <v>2</v>
      </c>
      <c r="G17" s="2" t="n">
        <v>2</v>
      </c>
      <c r="H17" s="2" t="n">
        <v>10</v>
      </c>
    </row>
    <row r="18">
      <c r="A18" s="2" t="n">
        <v>17</v>
      </c>
      <c r="B18" s="2" t="inlineStr">
        <is>
          <t>2027-06-14</t>
        </is>
      </c>
      <c r="C18" s="2" t="inlineStr">
        <is>
          <t>2027-06-25</t>
        </is>
      </c>
      <c r="D18" s="2" t="inlineStr">
        <is>
          <t>E5-S3 完了（1/4）、E6-S1、E6-S2 開始（4/10）</t>
        </is>
      </c>
      <c r="E18" s="2" t="n">
        <v>6</v>
      </c>
      <c r="F18" s="2" t="n">
        <v>2</v>
      </c>
      <c r="G18" s="2" t="n">
        <v>2</v>
      </c>
      <c r="H18" s="2" t="n">
        <v>10</v>
      </c>
    </row>
    <row r="19">
      <c r="A19" s="2" t="n">
        <v>18</v>
      </c>
      <c r="B19" s="2" t="inlineStr">
        <is>
          <t>2027-06-28</t>
        </is>
      </c>
      <c r="C19" s="2" t="inlineStr">
        <is>
          <t>2027-07-09</t>
        </is>
      </c>
      <c r="D19" s="2" t="inlineStr">
        <is>
          <t>E6-S2 完了（6/10）</t>
        </is>
      </c>
      <c r="E19" s="2" t="n">
        <v>6</v>
      </c>
      <c r="F19" s="2" t="n">
        <v>2</v>
      </c>
      <c r="G19" s="2" t="n">
        <v>2</v>
      </c>
      <c r="H19" s="2" t="n">
        <v>10</v>
      </c>
    </row>
    <row r="20">
      <c r="A20" s="2" t="n">
        <v>19</v>
      </c>
      <c r="B20" s="2" t="inlineStr">
        <is>
          <t>2027-07-12</t>
        </is>
      </c>
      <c r="C20" s="2" t="inlineStr">
        <is>
          <t>2027-07-23</t>
        </is>
      </c>
      <c r="D20" s="2" t="inlineStr">
        <is>
          <t>E6-S3 開始（6/12）</t>
        </is>
      </c>
      <c r="E20" s="2" t="n">
        <v>6</v>
      </c>
      <c r="F20" s="2" t="n">
        <v>2</v>
      </c>
      <c r="G20" s="2" t="n">
        <v>2</v>
      </c>
      <c r="H20" s="2" t="n">
        <v>10</v>
      </c>
    </row>
    <row r="21">
      <c r="A21" s="2" t="n">
        <v>20</v>
      </c>
      <c r="B21" s="2" t="inlineStr">
        <is>
          <t>2027-07-26</t>
        </is>
      </c>
      <c r="C21" s="2" t="inlineStr">
        <is>
          <t>2027-08-06</t>
        </is>
      </c>
      <c r="D21" s="2" t="inlineStr">
        <is>
          <t>E6-S3 完了（6/12）</t>
        </is>
      </c>
      <c r="E21" s="2" t="n">
        <v>6</v>
      </c>
      <c r="F21" s="2" t="n">
        <v>2</v>
      </c>
      <c r="G21" s="2" t="n">
        <v>2</v>
      </c>
      <c r="H21" s="2" t="n">
        <v>10</v>
      </c>
    </row>
    <row r="22">
      <c r="A22" s="2" t="n">
        <v>21</v>
      </c>
      <c r="B22" s="2" t="inlineStr">
        <is>
          <t>2027-08-09</t>
        </is>
      </c>
      <c r="C22" s="2" t="inlineStr">
        <is>
          <t>2027-08-20</t>
        </is>
      </c>
      <c r="D22" s="2" t="inlineStr">
        <is>
          <t>E6-S4、E7-S1 開始（2/12）</t>
        </is>
      </c>
      <c r="E22" s="2" t="n">
        <v>6</v>
      </c>
      <c r="F22" s="2" t="n">
        <v>2</v>
      </c>
      <c r="G22" s="2" t="n">
        <v>2</v>
      </c>
      <c r="H22" s="2" t="n">
        <v>10</v>
      </c>
    </row>
    <row r="23">
      <c r="A23" s="2" t="n">
        <v>22</v>
      </c>
      <c r="B23" s="2" t="inlineStr">
        <is>
          <t>2027-08-23</t>
        </is>
      </c>
      <c r="C23" s="2" t="inlineStr">
        <is>
          <t>2027-09-03</t>
        </is>
      </c>
      <c r="D23" s="2" t="inlineStr">
        <is>
          <t>E7-S1 継続（6/12）</t>
        </is>
      </c>
      <c r="E23" s="2" t="n">
        <v>6</v>
      </c>
      <c r="F23" s="2" t="n">
        <v>2</v>
      </c>
      <c r="G23" s="2" t="n">
        <v>2</v>
      </c>
      <c r="H23" s="2" t="n">
        <v>10</v>
      </c>
    </row>
    <row r="24">
      <c r="A24" s="2" t="n">
        <v>23</v>
      </c>
      <c r="B24" s="2" t="inlineStr">
        <is>
          <t>2027-09-06</t>
        </is>
      </c>
      <c r="C24" s="2" t="inlineStr">
        <is>
          <t>2027-09-17</t>
        </is>
      </c>
      <c r="D24" s="2" t="inlineStr">
        <is>
          <t>E7-S1 完了（4/12）、E7-S2 開始（2/3）</t>
        </is>
      </c>
      <c r="E24" s="2" t="n">
        <v>6</v>
      </c>
      <c r="F24" s="2" t="n">
        <v>2</v>
      </c>
      <c r="G24" s="2" t="n">
        <v>2</v>
      </c>
      <c r="H24" s="2" t="n">
        <v>10</v>
      </c>
    </row>
    <row r="25">
      <c r="A25" s="2" t="n">
        <v>24</v>
      </c>
      <c r="B25" s="2" t="inlineStr">
        <is>
          <t>2027-09-20</t>
        </is>
      </c>
      <c r="C25" s="2" t="inlineStr">
        <is>
          <t>2027-10-01</t>
        </is>
      </c>
      <c r="D25" s="2" t="inlineStr">
        <is>
          <t>E7-S2 完了（1/3）</t>
        </is>
      </c>
      <c r="E25" s="2" t="n">
        <v>1</v>
      </c>
      <c r="F25" s="2" t="n">
        <v>2</v>
      </c>
      <c r="G25" s="2" t="n">
        <v>2</v>
      </c>
      <c r="H25" s="2" t="n">
        <v>10</v>
      </c>
    </row>
    <row r="26">
      <c r="A26" s="2" t="inlineStr">
        <is>
          <t>合計</t>
        </is>
      </c>
      <c r="B26" s="2" t="inlineStr"/>
      <c r="C26" s="2" t="inlineStr"/>
      <c r="D26" s="2" t="inlineStr"/>
      <c r="E26" s="2">
        <f>SUM(E2:E25)</f>
        <v/>
      </c>
      <c r="F26" s="2">
        <f>SUM(F2:F25)</f>
        <v/>
      </c>
      <c r="G26" s="2">
        <f>SUM(G2:G25)</f>
        <v/>
      </c>
      <c r="H26" s="2">
        <f>SUM(H2:H25)</f>
        <v/>
      </c>
    </row>
  </sheetData>
  <autoFilter ref="A1:H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6" customWidth="1" min="3" max="3"/>
    <col width="16" customWidth="1" min="4" max="4"/>
    <col width="20" customWidth="1" min="5" max="5"/>
    <col width="12" customWidth="1" min="6" max="6"/>
    <col width="14" customWidth="1" min="7" max="7"/>
    <col width="14" customWidth="1" min="8" max="8"/>
    <col width="18" customWidth="1" min="9" max="9"/>
    <col width="14" customWidth="1" min="10" max="10"/>
  </cols>
  <sheetData>
    <row r="1" ht="22" customHeight="1">
      <c r="A1" s="3" t="inlineStr">
        <is>
          <t>役割</t>
        </is>
      </c>
      <c r="B1" s="3" t="inlineStr">
        <is>
          <t>責務</t>
        </is>
      </c>
      <c r="C1" s="3" t="inlineStr">
        <is>
          <t>各回の開発</t>
        </is>
      </c>
      <c r="D1" s="3" t="inlineStr">
        <is>
          <t>各回の管理</t>
        </is>
      </c>
      <c r="E1" s="3" t="inlineStr">
        <is>
          <t>各回の共通間接</t>
        </is>
      </c>
      <c r="F1" s="3" t="inlineStr">
        <is>
          <t>回数</t>
        </is>
      </c>
      <c r="G1" s="3" t="inlineStr">
        <is>
          <t>開発合計</t>
        </is>
      </c>
      <c r="H1" s="3" t="inlineStr">
        <is>
          <t>管理合計</t>
        </is>
      </c>
      <c r="I1" s="3" t="inlineStr">
        <is>
          <t>共通間接合計</t>
        </is>
      </c>
      <c r="J1" s="3" t="inlineStr">
        <is>
          <t>出勤合計</t>
        </is>
      </c>
    </row>
    <row r="2">
      <c r="A2" s="2" t="inlineStr">
        <is>
          <t>A 責任者</t>
        </is>
      </c>
      <c r="B2" s="2" t="inlineStr">
        <is>
          <t>プロトコル、ホスト、CI、顧客連絡と受け入れ</t>
        </is>
      </c>
      <c r="C2" s="2" t="n">
        <v>5</v>
      </c>
      <c r="D2" s="2" t="n">
        <v>3</v>
      </c>
      <c r="E2" s="2" t="n">
        <v>2</v>
      </c>
      <c r="F2" s="2" t="n">
        <v>8</v>
      </c>
      <c r="G2" s="2">
        <f>C2*F2</f>
        <v/>
      </c>
      <c r="H2" s="2">
        <f>D2*F2</f>
        <v/>
      </c>
      <c r="I2" s="2">
        <f>E2*F2</f>
        <v/>
      </c>
      <c r="J2" s="2">
        <f>G2+H2+I2</f>
        <v/>
      </c>
    </row>
    <row r="3">
      <c r="A3" s="2" t="inlineStr">
        <is>
          <t>B RX71M</t>
        </is>
      </c>
      <c r="B3" s="2" t="inlineStr">
        <is>
          <t>RX ファームウェアと RX 実機</t>
        </is>
      </c>
      <c r="C3" s="2" t="n">
        <v>8</v>
      </c>
      <c r="D3" s="2" t="n">
        <v>0</v>
      </c>
      <c r="E3" s="2" t="n">
        <v>2</v>
      </c>
      <c r="F3" s="2" t="n">
        <v>8</v>
      </c>
      <c r="G3" s="2">
        <f>C3*F3</f>
        <v/>
      </c>
      <c r="H3" s="2">
        <f>D3*F3</f>
        <v/>
      </c>
      <c r="I3" s="2">
        <f>E3*F3</f>
        <v/>
      </c>
      <c r="J3" s="2">
        <f>G3+H3+I3</f>
        <v/>
      </c>
    </row>
    <row r="4">
      <c r="A4" s="2" t="inlineStr">
        <is>
          <t>C RA8P</t>
        </is>
      </c>
      <c r="B4" s="2" t="inlineStr">
        <is>
          <t>RA ファームウェア、CAN FD、RGMII、RA 実機</t>
        </is>
      </c>
      <c r="C4" s="2" t="n">
        <v>8</v>
      </c>
      <c r="D4" s="2" t="n">
        <v>0</v>
      </c>
      <c r="E4" s="2" t="n">
        <v>2</v>
      </c>
      <c r="F4" s="2" t="n">
        <v>8</v>
      </c>
      <c r="G4" s="2">
        <f>C4*F4</f>
        <v/>
      </c>
      <c r="H4" s="2">
        <f>D4*F4</f>
        <v/>
      </c>
      <c r="I4" s="2">
        <f>E4*F4</f>
        <v/>
      </c>
      <c r="J4" s="2">
        <f>G4+H4+I4</f>
        <v/>
      </c>
    </row>
    <row r="5">
      <c r="A5" s="2" t="inlineStr">
        <is>
          <t>合計</t>
        </is>
      </c>
      <c r="B5" s="2" t="inlineStr"/>
      <c r="C5" s="2" t="inlineStr"/>
      <c r="D5" s="2" t="inlineStr"/>
      <c r="E5" s="2" t="inlineStr"/>
      <c r="F5" s="2" t="inlineStr"/>
      <c r="G5" s="2">
        <f>SUM(G2:G4)</f>
        <v/>
      </c>
      <c r="H5" s="2">
        <f>SUM(H2:H4)</f>
        <v/>
      </c>
      <c r="I5" s="2">
        <f>SUM(I2:I4)</f>
        <v/>
      </c>
      <c r="J5" s="2">
        <f>SUM(J2:J4)</f>
        <v/>
      </c>
    </row>
  </sheetData>
  <autoFilter ref="A1:J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36" customWidth="1" min="3" max="3"/>
  </cols>
  <sheetData>
    <row r="1" ht="22" customHeight="1">
      <c r="A1" s="3" t="inlineStr">
        <is>
          <t>項目</t>
        </is>
      </c>
      <c r="B1" s="3" t="inlineStr">
        <is>
          <t>1名（責任者が単独）</t>
        </is>
      </c>
      <c r="C1" s="3" t="inlineStr">
        <is>
          <t>3名</t>
        </is>
      </c>
    </row>
    <row r="2">
      <c r="A2" s="2" t="inlineStr">
        <is>
          <t>実行者</t>
        </is>
      </c>
      <c r="B2" s="2" t="inlineStr">
        <is>
          <t>責任者 A</t>
        </is>
      </c>
      <c r="C2" s="2" t="inlineStr">
        <is>
          <t>A が責任者、B が RX、C が RA</t>
        </is>
      </c>
    </row>
    <row r="3">
      <c r="A3" s="2" t="inlineStr">
        <is>
          <t>イテレーション数</t>
        </is>
      </c>
      <c r="B3" s="2" t="n">
        <v>24</v>
      </c>
      <c r="C3" s="2" t="n">
        <v>8</v>
      </c>
    </row>
    <row r="4">
      <c r="A4" s="2" t="inlineStr">
        <is>
          <t>終了日</t>
        </is>
      </c>
      <c r="B4" s="8" t="n">
        <v>46661</v>
      </c>
      <c r="C4" s="8" t="n">
        <v>46437</v>
      </c>
    </row>
    <row r="5">
      <c r="A5" s="2" t="inlineStr">
        <is>
          <t>見積出勤</t>
        </is>
      </c>
      <c r="B5" s="2">
        <f>24*10</f>
        <v/>
      </c>
      <c r="C5" s="2">
        <f>3名の予算!J5</f>
        <v/>
      </c>
    </row>
    <row r="6">
      <c r="A6" s="2" t="inlineStr">
        <is>
          <t>管理</t>
        </is>
      </c>
      <c r="B6" s="2">
        <f>24*2</f>
        <v/>
      </c>
      <c r="C6" s="2">
        <f>3名の予算!H5</f>
        <v/>
      </c>
    </row>
    <row r="7">
      <c r="A7" s="2" t="inlineStr">
        <is>
          <t>開発の枠</t>
        </is>
      </c>
      <c r="B7" s="2">
        <f>24*6</f>
        <v/>
      </c>
      <c r="C7" s="2">
        <f>3名の予算!G5</f>
        <v/>
      </c>
    </row>
    <row r="8">
      <c r="A8" s="2" t="inlineStr">
        <is>
          <t>共通の間接</t>
        </is>
      </c>
      <c r="B8" s="2">
        <f>24*2</f>
        <v/>
      </c>
      <c r="C8" s="2">
        <f>3名の予算!I5</f>
        <v/>
      </c>
    </row>
    <row r="9">
      <c r="A9" s="2" t="inlineStr">
        <is>
          <t>story</t>
        </is>
      </c>
      <c r="B9" s="2" t="n">
        <v>139</v>
      </c>
      <c r="C9" s="2" t="n">
        <v>139</v>
      </c>
    </row>
    <row r="10">
      <c r="A10" s="2" t="inlineStr">
        <is>
          <t>開発の余り</t>
        </is>
      </c>
      <c r="B10" s="2">
        <f>C7-C9</f>
        <v/>
      </c>
      <c r="C10" s="2">
        <f>D7-D9</f>
        <v/>
      </c>
    </row>
  </sheetData>
  <autoFilter ref="A1:C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78" customWidth="1" min="3" max="3"/>
  </cols>
  <sheetData>
    <row r="1" ht="22" customHeight="1">
      <c r="A1" s="9" t="inlineStr">
        <is>
          <t>項目</t>
        </is>
      </c>
      <c r="B1" s="9" t="inlineStr">
        <is>
          <t>数字</t>
        </is>
      </c>
      <c r="C1" s="9" t="inlineStr">
        <is>
          <t>根拠</t>
        </is>
      </c>
    </row>
    <row r="2">
      <c r="A2" s="10" t="inlineStr">
        <is>
          <t>E0-S1 最可能 1</t>
        </is>
      </c>
      <c r="B2" s="10" t="n">
        <v>1</v>
      </c>
      <c r="C2" s="10" t="inlineStr">
        <is>
          <t>O 0.8，P 1.5，期望 1.0。受け入れ仮定を 1 枚書く。製品コードはない。書くことと読み返すことで理想時間 1 日。</t>
        </is>
      </c>
    </row>
    <row r="3">
      <c r="A3" s="11" t="inlineStr">
        <is>
          <t>E0-S2 最可能 3</t>
        </is>
      </c>
      <c r="B3" s="11" t="n">
        <v>3</v>
      </c>
      <c r="C3" s="11" t="inlineStr">
        <is>
          <t>O 2.2，P 4.5，期望 3.1。既にあるフレームへ失敗する試験を足す。C と Pascal の二系統。ベクトル、失敗の確認、アサーションで 3 日。</t>
        </is>
      </c>
    </row>
    <row r="4">
      <c r="A4" s="10" t="inlineStr">
        <is>
          <t>E0-S4 最可能 2</t>
        </is>
      </c>
      <c r="B4" s="10" t="n">
        <v>2</v>
      </c>
      <c r="C4" s="10" t="inlineStr">
        <is>
          <t>O 1.4，P 3.6，期望 2.2。セルフホストランナーを登録し、ファームウェア作業が緑になるところまで。makefile の絶対パスという既知の失敗があるため、登録だけでは 1 日にならない。</t>
        </is>
      </c>
    </row>
    <row r="5">
      <c r="A5" s="11" t="inlineStr">
        <is>
          <t>E0-S5 最可能 5</t>
        </is>
      </c>
      <c r="B5" s="11" t="n">
        <v>5</v>
      </c>
      <c r="C5" s="11" t="inlineStr">
        <is>
          <t>O 3.8，P 7.5，期望 5.2。二つのプロジェクトを周辺機能ごとに移し、振舞いを保ったまま Debug と Release をビルドする。再構築であり新機能ではない。理想時間 5 日。</t>
        </is>
      </c>
    </row>
    <row r="6">
      <c r="A6" s="10" t="inlineStr">
        <is>
          <t>E0-S3 最可能 12</t>
        </is>
      </c>
      <c r="B6" s="10" t="n">
        <v>12</v>
      </c>
      <c r="C6" s="10" t="inlineStr">
        <is>
          <t>O 8.4，P 21.6，期望 13.0。システム試験の環境 3.0 人日に、P1 実機 70 時間（8.75 人日）を足すと 11.75。整数の story として 12。P2、長時間、再試験の 3 人日は入れない。</t>
        </is>
      </c>
    </row>
    <row r="7">
      <c r="A7" s="11" t="inlineStr">
        <is>
          <t>E1-S1 最可能 3</t>
        </is>
      </c>
      <c r="B7" s="11" t="n">
        <v>3</v>
      </c>
      <c r="C7" s="11" t="inlineStr">
        <is>
          <t>O 2.1，P 5.4，期望 3.2。RX の比較レジスタ四路だけを直し、波形を確認する。RA は変えない。失敗する試験と実測を含む。システム試験の PWM 波形だけでも 8 時間の規模がある。</t>
        </is>
      </c>
    </row>
    <row r="8">
      <c r="A8" s="10" t="inlineStr">
        <is>
          <t>E2-S1 最可能 5</t>
        </is>
      </c>
      <c r="B8" s="10" t="n">
        <v>5</v>
      </c>
      <c r="C8" s="10" t="inlineStr">
        <is>
          <t>O 3.5，P 9.0，期望 5.4。この系列の最初のコマンド。proto、C、Pascal の基準バイトと二つの基板を触る。5 日は、後続が再利用する型を作る分。</t>
        </is>
      </c>
    </row>
    <row r="9">
      <c r="A9" s="11" t="inlineStr">
        <is>
          <t>E2-S2 最可能 4</t>
        </is>
      </c>
      <c r="B9" s="11" t="n">
        <v>4</v>
      </c>
      <c r="C9" s="11" t="inlineStr">
        <is>
          <t>O 3.0，P 6.0，期望 4.2。型は E2-S1 にある。ここではアドレスと 1 バイトを足し、不正アドレスの失敗を先に置く。最初の八割として 4 日。</t>
        </is>
      </c>
    </row>
    <row r="10">
      <c r="A10" s="10" t="inlineStr">
        <is>
          <t>E2-S3 最可能 4</t>
        </is>
      </c>
      <c r="B10" s="10" t="n">
        <v>4</v>
      </c>
      <c r="C10" s="10" t="inlineStr">
        <is>
          <t>O 3.0，P 6.0，期望 4.2。同じく後続。デモはすでに Break と 0x55 を出す。ホストが渡したバイトへ変える。4 日。</t>
        </is>
      </c>
    </row>
    <row r="11">
      <c r="A11" s="11" t="inlineStr">
        <is>
          <t>E2-S4 最可能 3</t>
        </is>
      </c>
      <c r="B11" s="11" t="n">
        <v>3</v>
      </c>
      <c r="C11" s="11" t="inlineStr">
        <is>
          <t>O 2.2，P 4.5，期望 3.1。三つのコマンドを、一回の画面修正と一組の基準ベクトルにまとめる。プロトコルの手間を三度払わない。3 日。</t>
        </is>
      </c>
    </row>
    <row r="12">
      <c r="A12" s="10" t="inlineStr">
        <is>
          <t>E3-S1 最可能 8</t>
        </is>
      </c>
      <c r="B12" s="10" t="n">
        <v>8</v>
      </c>
      <c r="C12" s="10" t="inlineStr">
        <is>
          <t>O 4.8，P 17.6，期望 9.1。送信経路はある。増えるのは受信メールボックス、CanLog、アナライザでの実機。新しいハードウェア経路として 8 日。RA と折半しない。</t>
        </is>
      </c>
    </row>
    <row r="13">
      <c r="A13" s="11" t="inlineStr">
        <is>
          <t>E3-S2 最可能 8</t>
        </is>
      </c>
      <c r="B13" s="11" t="n">
        <v>8</v>
      </c>
      <c r="C13" s="11" t="inlineStr">
        <is>
          <t>O 4.8，P 17.6，期望 9.1。CAN FD のメールボックスはクラシック CAN と同じレジスタではない。RX の 8 日は流用できない。RA でさらに 8 日。</t>
        </is>
      </c>
    </row>
    <row r="14">
      <c r="A14" s="10" t="inlineStr">
        <is>
          <t>E3-S3 最可能 5</t>
        </is>
      </c>
      <c r="B14" s="10" t="n">
        <v>5</v>
      </c>
      <c r="C14" s="10" t="inlineStr">
        <is>
          <t>O 3.5，P 9.0，期望 5.4。受信経路のあとでフィルタを行う。通過と拒否の二つのベクトルと、両側の実装。新しい受信経路より少ない 5 日。</t>
        </is>
      </c>
    </row>
    <row r="15">
      <c r="A15" s="11" t="inlineStr">
        <is>
          <t>E4-S1 最可能 6</t>
        </is>
      </c>
      <c r="B15" s="11" t="n">
        <v>6</v>
      </c>
      <c r="C15" s="11" t="inlineStr">
        <is>
          <t>O 4.2，P 10.8，期望 6.5。リングは先にホストで同じベクトルを通し、ファームウェアはそれを呼ぶ。256 フレーム、最古を上書き、電源断で消える。Flash を作らないので記憶ドライバの工数ではない。6 日。</t>
        </is>
      </c>
    </row>
    <row r="16">
      <c r="A16" s="10" t="inlineStr">
        <is>
          <t>E4-S2 最可能 5</t>
        </is>
      </c>
      <c r="B16" s="10" t="n">
        <v>5</v>
      </c>
      <c r="C16" s="10" t="inlineStr">
        <is>
          <t>O 3.5，P 9.0，期望 5.4。ページと消去は新しい符号化である。基準バイトを先に失敗させ、その後通す。基板側の格納は E4-S3。ここは 5 日。</t>
        </is>
      </c>
    </row>
    <row r="17">
      <c r="A17" s="11" t="inlineStr">
        <is>
          <t>E4-S3 最可能 3</t>
        </is>
      </c>
      <c r="B17" s="11" t="n">
        <v>3</v>
      </c>
      <c r="C17" s="11" t="inlineStr">
        <is>
          <t>O 2.2，P 4.5，期望 3.1。送受信の経路はある。フレームをバッファへ入れ、未接続では送らない。統合として 3 日。</t>
        </is>
      </c>
    </row>
    <row r="18">
      <c r="A18" s="10" t="inlineStr">
        <is>
          <t>E5-S1 最可能 8</t>
        </is>
      </c>
      <c r="B18" s="10" t="n">
        <v>8</v>
      </c>
      <c r="C18" s="10" t="inlineStr">
        <is>
          <t>O 4.8，P 17.6，期望 9.1。現状は USB クロックと D+ のプルアップだけである。8 日は、同じ HL1 バイトを運ぶデバイス側のパイプまで。USB 認証も高スループットも含まない。パーサは E0-S2 を再利用する。</t>
        </is>
      </c>
    </row>
    <row r="19">
      <c r="A19" s="11" t="inlineStr">
        <is>
          <t>E5-S2 最可能 8</t>
        </is>
      </c>
      <c r="B19" s="11" t="n">
        <v>8</v>
      </c>
      <c r="C19" s="11" t="inlineStr">
        <is>
          <t>O 4.8，P 17.6，期望 9.1。RA の USB コントローラは RX と異なる。さらに 8 日。UART を受け入れ経路に残すので、この 8 日が失敗しても計画全体は止めない。</t>
        </is>
      </c>
    </row>
    <row r="20">
      <c r="A20" s="10" t="inlineStr">
        <is>
          <t>E5-S3 最可能 4</t>
        </is>
      </c>
      <c r="B20" s="10" t="n">
        <v>4</v>
      </c>
      <c r="C20" s="10" t="inlineStr">
        <is>
          <t>O 3.0，P 6.0，期望 4.2。フレーム形式は変えない。符号化の試験は元の一式。COM と CDC の選択だけを足す。4 日。</t>
        </is>
      </c>
    </row>
    <row r="21">
      <c r="A21" s="11" t="inlineStr">
        <is>
          <t>E6-S1 最可能 1</t>
        </is>
      </c>
      <c r="B21" s="11" t="n">
        <v>1</v>
      </c>
      <c r="C21" s="11" t="inlineStr">
        <is>
          <t>O 0.8，P 1.5，期望 1.0。PHY アドレス、アドレスファミリ、ポートは顧客未確認。後続の試験が参照するインタフェース説明を 1 枚。1 日であり、プロトコルスタックではない。</t>
        </is>
      </c>
    </row>
    <row r="22">
      <c r="A22" s="10" t="inlineStr">
        <is>
          <t>E6-S2 最可能 10</t>
        </is>
      </c>
      <c r="B22" s="10" t="n">
        <v>10</v>
      </c>
      <c r="C22" s="10" t="inlineStr">
        <is>
          <t>O 6.0，P 22.0，期望 11.3。MAC アドレスと送受信イネーブルは書いてある。10 日は、静的アドレス上の周期 UDP 状態パケット一つまで。TCP、Web、TLS はない。</t>
        </is>
      </c>
    </row>
    <row r="23">
      <c r="A23" s="11" t="inlineStr">
        <is>
          <t>E6-S3 最可能 12</t>
        </is>
      </c>
      <c r="B23" s="11" t="n">
        <v>12</v>
      </c>
      <c r="C23" s="11" t="inlineStr">
        <is>
          <t>O 7.2，P 26.4，期望 13.6。バイト配置は RX の試験を再利用する。メッセージをゼロから設計し直さない。RGMII と PHY は未確認なので RX より 2 日多く、合計 12 日。PHY が未準備ならバイト試験で止め、リリース日は動かさない。</t>
        </is>
      </c>
    </row>
    <row r="24">
      <c r="A24" s="10" t="inlineStr">
        <is>
          <t>E6-S4 最可能 4</t>
        </is>
      </c>
      <c r="B24" s="10" t="n">
        <v>4</v>
      </c>
      <c r="C24" s="10" t="inlineStr">
        <is>
          <t>O 3.0，P 6.0，期望 4.2。録音した UDP パケットで画面を動かす。HL1 のコマンド経路は置き換えない。CDC の選択と同じ規模で 4 日。</t>
        </is>
      </c>
    </row>
    <row r="25">
      <c r="A25" s="11" t="inlineStr">
        <is>
          <t>E7-S1 最可能 12</t>
        </is>
      </c>
      <c r="B25" s="11" t="n">
        <v>12</v>
      </c>
      <c r="C25" s="11" t="inlineStr">
        <is>
          <t>O 8.4，P 21.6，期望 13.0。各 story は自分の実機受け入れをすでに含む。ここはリリース前にもう一度既存 P1 を行い、新しいコマンドを抜き取る。やはり 12 日。現行試験の 18.5 人日を重ねては足さない。</t>
        </is>
      </c>
    </row>
    <row r="26">
      <c r="A26" s="10" t="inlineStr">
        <is>
          <t>E7-S2 最可能 3</t>
        </is>
      </c>
      <c r="B26" s="10" t="n">
        <v>3</v>
      </c>
      <c r="C26" s="10" t="inlineStr">
        <is>
          <t>O 2.2，P 4.5，期望 3.1。日中の文書の本体はすでにリポジトリにある。3 日は、動作の変化を反映し、タグを打ち、リリース成果物を確認する分。仕様をゼロから書く日数ではない。</t>
        </is>
      </c>
    </row>
  </sheetData>
  <autoFilter ref="A1:C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2026-10-03T04:38:23Z</dcterms:created>
  <dcterms:modified xmlns:dcterms="http://purl.org/dc/terms/" xmlns:xsi="http://www.w3.org/2001/XMLSchema-instance" xsi:type="dcterms:W3CDTF">2026-10-03T06:20:08Z</dcterms:modified>
</cp:coreProperties>
</file>