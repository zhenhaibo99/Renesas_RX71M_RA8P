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Story工数" sheetId="2" state="visible" r:id="rId2"/>
    <sheet xmlns:r="http://schemas.openxmlformats.org/officeDocument/2006/relationships" name="一人排期" sheetId="3" state="visible" r:id="rId3"/>
    <sheet xmlns:r="http://schemas.openxmlformats.org/officeDocument/2006/relationships" name="三人预算" sheetId="4" state="visible" r:id="rId4"/>
    <sheet xmlns:r="http://schemas.openxmlformats.org/officeDocument/2006/relationships" name="对照" sheetId="5" state="visible" r:id="rId5"/>
    <sheet xmlns:r="http://schemas.openxmlformats.org/officeDocument/2006/relationships" name="估算依据" sheetId="6" state="visible" r:id="rId6"/>
  </sheets>
  <definedNames>
    <definedName name="_xlnm._FilterDatabase" localSheetId="1" hidden="1">'Story工数'!$A$1:$D$27</definedName>
    <definedName name="_xlnm._FilterDatabase" localSheetId="2" hidden="1">'一人排期'!$A$1:$H$26</definedName>
    <definedName name="_xlnm._FilterDatabase" localSheetId="3" hidden="1">'三人预算'!$A$1:$J$5</definedName>
    <definedName name="_xlnm._FilterDatabase" localSheetId="4" hidden="1">'对照'!$A$1:$C$10</definedName>
    <definedName name="_xlnm._FilterDatabase" localSheetId="5" hidden="1">'估算依据'!$A$1:$C$26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1"/>
    </font>
    <font>
      <name val="Calibri"/>
      <b val="1"/>
      <color rgb="00FFFFFF"/>
    </font>
    <font>
      <name val="Calibri"/>
      <b val="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B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BFCBD9"/>
      </left>
      <right style="thin">
        <color rgb="00BFCBD9"/>
      </right>
      <top style="thin">
        <color rgb="00BFCBD9"/>
      </top>
      <bottom style="thin">
        <color rgb="00BFCB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工数说明</t>
        </is>
      </c>
    </row>
    <row r="3">
      <c r="A3" s="2" t="inlineStr">
        <is>
          <t>项目</t>
        </is>
      </c>
      <c r="B3" s="2" t="inlineStr">
        <is>
          <t>RX71M / RA8P 与 PC 上位机</t>
        </is>
      </c>
    </row>
    <row r="4">
      <c r="A4" s="2" t="inlineStr">
        <is>
          <t>一人执行者</t>
        </is>
      </c>
      <c r="B4" s="2" t="inlineStr">
        <is>
          <t>三人方案中的负责人 A，单独完成全部 story</t>
        </is>
      </c>
    </row>
    <row r="5">
      <c r="A5" s="2" t="inlineStr">
        <is>
          <t>工数单位</t>
        </is>
      </c>
      <c r="B5" s="2" t="inlineStr">
        <is>
          <t>1 人日 = 8 小时，1 人月 = 20 人日</t>
        </is>
      </c>
    </row>
    <row r="6">
      <c r="A6" s="2" t="inlineStr">
        <is>
          <t>起始日</t>
        </is>
      </c>
      <c r="B6" s="2" t="inlineStr">
        <is>
          <t>2026-11-02</t>
        </is>
      </c>
    </row>
    <row r="7">
      <c r="A7" s="2" t="inlineStr">
        <is>
          <t>一人管理</t>
        </is>
      </c>
      <c r="B7" s="2" t="inlineStr">
        <is>
          <t>每迭代 2 人日。三人时 A 为 3 人日；少的 1 人日是带领 B 与 C</t>
        </is>
      </c>
    </row>
    <row r="8">
      <c r="A8" s="2" t="inlineStr">
        <is>
          <t>一人开发</t>
        </is>
      </c>
      <c r="B8" s="2" t="inlineStr">
        <is>
          <t>每迭代 6 人日，24 个迭代，开发池 144，story 139，余量 5</t>
        </is>
      </c>
    </row>
    <row r="9">
      <c r="A9" s="2" t="inlineStr">
        <is>
          <t>一人报价</t>
        </is>
      </c>
      <c r="B9" s="2" t="inlineStr">
        <is>
          <t>240 人日 = 管理 48 + 开发 144 + 共有开销 48</t>
        </is>
      </c>
    </row>
    <row r="10">
      <c r="A10" s="2" t="inlineStr">
        <is>
          <t>三人报价</t>
        </is>
      </c>
      <c r="B10" s="2" t="inlineStr">
        <is>
          <t>240 人日 = A 管理 24 + A 开发 40 + B 开发 64 + C 开发 64 + 共有开销 48</t>
        </is>
      </c>
    </row>
    <row r="11">
      <c r="A11" s="2" t="inlineStr">
        <is>
          <t>公式</t>
        </is>
      </c>
      <c r="B11" s="2" t="inlineStr">
        <is>
          <t>报价人日 = 人数 × 迭代数 × 10；管理只计负责人，不乘全员</t>
        </is>
      </c>
    </row>
    <row r="12">
      <c r="A12" t="inlineStr">
        <is>
          <t>依据</t>
        </is>
      </c>
      <c r="B12" t="inlineStr">
        <is>
          <t>见第 8 节和「估算依据」表。人日没有改。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2" customWidth="1" min="4" max="4"/>
    <col width="72" customWidth="1" min="5" max="5"/>
  </cols>
  <sheetData>
    <row r="1" ht="22" customHeight="1">
      <c r="A1" s="3" t="inlineStr">
        <is>
          <t>史诗</t>
        </is>
      </c>
      <c r="B1" s="3" t="inlineStr">
        <is>
          <t>编号</t>
        </is>
      </c>
      <c r="C1" s="3" t="inlineStr">
        <is>
          <t>中文说明</t>
        </is>
      </c>
      <c r="D1" s="3" t="inlineStr">
        <is>
          <t>人日</t>
        </is>
      </c>
      <c r="E1" s="6" t="inlineStr">
        <is>
          <t>依据</t>
        </is>
      </c>
    </row>
    <row r="2">
      <c r="A2" s="2" t="inlineStr">
        <is>
          <t>E0</t>
        </is>
      </c>
      <c r="B2" s="2" t="inlineStr">
        <is>
          <t>E0-S1</t>
        </is>
      </c>
      <c r="C2" s="2" t="inlineStr">
        <is>
          <t>把验收假设写成一页</t>
        </is>
      </c>
      <c r="D2" s="2" t="n">
        <v>1</v>
      </c>
      <c r="E2" s="7" t="inlineStr">
        <is>
          <t>一页验收假设，没有产品代码。按一个理想日，含写成和自己读一遍。</t>
        </is>
      </c>
    </row>
    <row r="3">
      <c r="A3" s="2" t="inlineStr">
        <is>
          <t>E0</t>
        </is>
      </c>
      <c r="B3" s="2" t="inlineStr">
        <is>
          <t>E0-S2</t>
        </is>
      </c>
      <c r="C3" s="2" t="inlineStr">
        <is>
          <t>补齐已有 HL1 的特征测试</t>
        </is>
      </c>
      <c r="D3" s="2" t="n">
        <v>3</v>
      </c>
      <c r="E3" s="7" t="inlineStr">
        <is>
          <t>在已经存在的帧上补失败用例，C 与 Pascal 各一套。三日是列向量、看到失败、补断言。</t>
        </is>
      </c>
    </row>
    <row r="4">
      <c r="A4" s="2" t="inlineStr">
        <is>
          <t>E0</t>
        </is>
      </c>
      <c r="B4" s="2" t="inlineStr">
        <is>
          <t>E0-S4</t>
        </is>
      </c>
      <c r="C4" s="2" t="inlineStr">
        <is>
          <t>登记自托管运行器</t>
        </is>
      </c>
      <c r="D4" s="2" t="n">
        <v>2</v>
      </c>
      <c r="E4" s="7" t="inlineStr">
        <is>
          <t>登记自托管运行器并看到固件作业变绿。makefile 使用绝对路径，这一已知失败点使它不是 1 日就能结束的注册。</t>
        </is>
      </c>
    </row>
    <row r="5">
      <c r="A5" s="2" t="inlineStr">
        <is>
          <t>E0</t>
        </is>
      </c>
      <c r="B5" s="2" t="inlineStr">
        <is>
          <t>E0-S5</t>
        </is>
      </c>
      <c r="C5" s="2" t="inlineStr">
        <is>
          <t>按外设拆开 board_resources</t>
        </is>
      </c>
      <c r="D5" s="2" t="n">
        <v>5</v>
      </c>
      <c r="E5" s="7" t="inlineStr">
        <is>
          <t>两个工程按外设搬家并保持行为，再编 Debug 与 Release。这是重构，不是新功能，按 5 个理想日。</t>
        </is>
      </c>
    </row>
    <row r="6">
      <c r="A6" s="2" t="inlineStr">
        <is>
          <t>E0</t>
        </is>
      </c>
      <c r="B6" s="2" t="inlineStr">
        <is>
          <t>E0-S3</t>
        </is>
      </c>
      <c r="C6" s="2" t="inlineStr">
        <is>
          <t>现有功能的 P1 实机基线</t>
        </is>
      </c>
      <c r="D6" s="2" t="n">
        <v>12</v>
      </c>
      <c r="E6" s="7" t="inlineStr">
        <is>
          <t>系统测试的环境 3.0 人日，加上 P1 实机 70 小时（8.75 人日），合计 11.75，取整为 12。P2、长稳和 3 人日回归余量不在这里。</t>
        </is>
      </c>
    </row>
    <row r="7">
      <c r="A7" s="2" t="inlineStr">
        <is>
          <t>E1</t>
        </is>
      </c>
      <c r="B7" s="2" t="inlineStr">
        <is>
          <t>E1-S1</t>
        </is>
      </c>
      <c r="C7" s="2" t="inlineStr">
        <is>
          <t>RX PWM 与资源表一致</t>
        </is>
      </c>
      <c r="D7" s="2" t="n">
        <v>3</v>
      </c>
      <c r="E7" s="7" t="inlineStr">
        <is>
          <t>只改 RX 的四路比较寄存器并核对波形，RA 不动。含先写失败测试和实机测量。系统测试里仅 PWM 波形一项就是 8 小时量级。</t>
        </is>
      </c>
    </row>
    <row r="8">
      <c r="A8" s="2" t="inlineStr">
        <is>
          <t>E2</t>
        </is>
      </c>
      <c r="B8" s="2" t="inlineStr">
        <is>
          <t>E2-S1</t>
        </is>
      </c>
      <c r="C8" s="2" t="inlineStr">
        <is>
          <t>SPI 交换命令</t>
        </is>
      </c>
      <c r="D8" s="2" t="n">
        <v>5</v>
      </c>
      <c r="E8" s="7" t="inlineStr">
        <is>
          <t>这一族命令的第一个。proto、C、Pascal 的黄金字节和两块板都要动。5 日用来建立以后三条命令会复用的模式。</t>
        </is>
      </c>
    </row>
    <row r="9">
      <c r="A9" s="2" t="inlineStr">
        <is>
          <t>E2</t>
        </is>
      </c>
      <c r="B9" s="2" t="inlineStr">
        <is>
          <t>E2-S2</t>
        </is>
      </c>
      <c r="C9" s="2" t="inlineStr">
        <is>
          <t>I2C 写命令</t>
        </is>
      </c>
      <c r="D9" s="2" t="n">
        <v>4</v>
      </c>
      <c r="E9" s="7" t="inlineStr">
        <is>
          <t>模式已由 E2-S1 建立。这里只加地址和 1 字节，并先有非法地址的失败用例。按第一项的八成，取 4 日。</t>
        </is>
      </c>
    </row>
    <row r="10">
      <c r="A10" s="2" t="inlineStr">
        <is>
          <t>E2</t>
        </is>
      </c>
      <c r="B10" s="2" t="inlineStr">
        <is>
          <t>E2-S3</t>
        </is>
      </c>
      <c r="C10" s="2" t="inlineStr">
        <is>
          <t>LIN Break 后发送指定数据</t>
        </is>
      </c>
      <c r="D10" s="2" t="n">
        <v>4</v>
      </c>
      <c r="E10" s="7" t="inlineStr">
        <is>
          <t>同样是跟随项。演示循环已经会发 Break 和 0x55，改成上位机给出的字节。4 日。</t>
        </is>
      </c>
    </row>
    <row r="11">
      <c r="A11" s="2" t="inlineStr">
        <is>
          <t>E2</t>
        </is>
      </c>
      <c r="B11" s="2" t="inlineStr">
        <is>
          <t>E2-S4</t>
        </is>
      </c>
      <c r="C11" s="2" t="inlineStr">
        <is>
          <t>上位机三条串行命令</t>
        </is>
      </c>
      <c r="D11" s="2" t="n">
        <v>3</v>
      </c>
      <c r="E11" s="7" t="inlineStr">
        <is>
          <t>三条命令合成一次界面修改和一套黄金向量，不把协议税再付三遍。3 日。</t>
        </is>
      </c>
    </row>
    <row r="12">
      <c r="A12" s="2" t="inlineStr">
        <is>
          <t>E3</t>
        </is>
      </c>
      <c r="B12" s="2" t="inlineStr">
        <is>
          <t>E3-S1</t>
        </is>
      </c>
      <c r="C12" s="2" t="inlineStr">
        <is>
          <t>RX 接收经典 CAN</t>
        </is>
      </c>
      <c r="D12" s="2" t="n">
        <v>8</v>
      </c>
      <c r="E12" s="7" t="inlineStr">
        <is>
          <t>发送路径已经有了。新增的是接收邮箱、CanLog，以及分析仪上的实机。新的硬件路径按 8 日，不和 RA 平分。</t>
        </is>
      </c>
    </row>
    <row r="13">
      <c r="A13" s="2" t="inlineStr">
        <is>
          <t>E3</t>
        </is>
      </c>
      <c r="B13" s="2" t="inlineStr">
        <is>
          <t>E3-S3</t>
        </is>
      </c>
      <c r="C13" s="2" t="inlineStr">
        <is>
          <t>11 位 ID 过滤</t>
        </is>
      </c>
      <c r="D13" s="2" t="n">
        <v>5</v>
      </c>
      <c r="E13" s="7" t="inlineStr">
        <is>
          <t>接收路径完成后才做过滤。工作是通过和拒绝两个向量，加上两侧实现。5 日，低于新开一条接收路径。</t>
        </is>
      </c>
    </row>
    <row r="14">
      <c r="A14" s="2" t="inlineStr">
        <is>
          <t>E3</t>
        </is>
      </c>
      <c r="B14" s="2" t="inlineStr">
        <is>
          <t>E3-S2</t>
        </is>
      </c>
      <c r="C14" s="2" t="inlineStr">
        <is>
          <t>RA 接收经典帧与 CAN FD</t>
        </is>
      </c>
      <c r="D14" s="2" t="n">
        <v>8</v>
      </c>
      <c r="E14" s="7" t="inlineStr">
        <is>
          <t>CAN FD 的邮箱和经典 CAN 不是同一套寄存器。RX 的 8 日不能挪过来用。RA 再计 8 日。</t>
        </is>
      </c>
    </row>
    <row r="15">
      <c r="A15" s="2" t="inlineStr">
        <is>
          <t>E4</t>
        </is>
      </c>
      <c r="B15" s="2" t="inlineStr">
        <is>
          <t>E4-S1</t>
        </is>
      </c>
      <c r="C15" s="2" t="inlineStr">
        <is>
          <t>256 帧 RAM 环形缓冲</t>
        </is>
      </c>
      <c r="D15" s="2" t="n">
        <v>6</v>
      </c>
      <c r="E15" s="7" t="inlineStr">
        <is>
          <t>环形缓冲先在主机上用同一组向量测完，固件再调用。256 帧、覆盖最旧、掉电不保留。不做 Flash，所以不是存储驱动的工时。6 日。</t>
        </is>
      </c>
    </row>
    <row r="16">
      <c r="A16" s="2" t="inlineStr">
        <is>
          <t>E4</t>
        </is>
      </c>
      <c r="B16" s="2" t="inlineStr">
        <is>
          <t>E4-S3</t>
        </is>
      </c>
      <c r="C16" s="2" t="inlineStr">
        <is>
          <t>收发都入库，连接后上传</t>
        </is>
      </c>
      <c r="D16" s="2" t="n">
        <v>3</v>
      </c>
      <c r="E16" s="7" t="inlineStr">
        <is>
          <t>收发路径已经有了，只把帧放进缓冲，并在未连接时不发送。集成按 3 日。</t>
        </is>
      </c>
    </row>
    <row r="17">
      <c r="A17" s="2" t="inlineStr">
        <is>
          <t>E4</t>
        </is>
      </c>
      <c r="B17" s="2" t="inlineStr">
        <is>
          <t>E4-S2</t>
        </is>
      </c>
      <c r="C17" s="2" t="inlineStr">
        <is>
          <t>上位机翻页和清空</t>
        </is>
      </c>
      <c r="D17" s="2" t="n">
        <v>5</v>
      </c>
      <c r="E17" s="7" t="inlineStr">
        <is>
          <t>分页和清空是新的编码，黄金字节要先失败再通过。板侧入库另计在 E4-S3。这里 5 日。</t>
        </is>
      </c>
    </row>
    <row r="18">
      <c r="A18" s="2" t="inlineStr">
        <is>
          <t>E5</t>
        </is>
      </c>
      <c r="B18" s="2" t="inlineStr">
        <is>
          <t>E5-S1</t>
        </is>
      </c>
      <c r="C18" s="2" t="inlineStr">
        <is>
          <t>RX USB-CDC 承载 HL1</t>
        </is>
      </c>
      <c r="D18" s="2" t="n">
        <v>8</v>
      </c>
      <c r="E18" s="7" t="inlineStr">
        <is>
          <t>现状只有 USB 时钟和 D+ 上拉。8 日只覆盖承载同一套 HL1 字节的设备侧管道，不含 USB 认证和高吞吐。解析器复用 E0-S2。</t>
        </is>
      </c>
    </row>
    <row r="19">
      <c r="A19" s="2" t="inlineStr">
        <is>
          <t>E5</t>
        </is>
      </c>
      <c r="B19" s="2" t="inlineStr">
        <is>
          <t>E5-S2</t>
        </is>
      </c>
      <c r="C19" s="2" t="inlineStr">
        <is>
          <t>RA USB-CDC 承载 HL1</t>
        </is>
      </c>
      <c r="D19" s="2" t="n">
        <v>8</v>
      </c>
      <c r="E19" s="7" t="inlineStr">
        <is>
          <t>RA 的 USB 控制器和 RX 不同，再计 8 日。UART 仍是验收通路，所以这 8 日失败时不把整份计划停住。</t>
        </is>
      </c>
    </row>
    <row r="20">
      <c r="A20" s="2" t="inlineStr">
        <is>
          <t>E5</t>
        </is>
      </c>
      <c r="B20" s="2" t="inlineStr">
        <is>
          <t>E5-S3</t>
        </is>
      </c>
      <c r="C20" s="2" t="inlineStr">
        <is>
          <t>上位机选择 COM 或 CDC</t>
        </is>
      </c>
      <c r="D20" s="2" t="n">
        <v>4</v>
      </c>
      <c r="E20" s="7" t="inlineStr">
        <is>
          <t>帧格式不变，编码测试仍走原来的一套。只加 COM 与 CDC 的选择。4 日。</t>
        </is>
      </c>
    </row>
    <row r="21">
      <c r="A21" s="2" t="inlineStr">
        <is>
          <t>E6</t>
        </is>
      </c>
      <c r="B21" s="2" t="inlineStr">
        <is>
          <t>E6-S1</t>
        </is>
      </c>
      <c r="C21" s="2" t="inlineStr">
        <is>
          <t>确认 UDP 接口</t>
        </is>
      </c>
      <c r="D21" s="2" t="n">
        <v>1</v>
      </c>
      <c r="E21" s="7" t="inlineStr">
        <is>
          <t>PHY 地址、地址族和端口还没有客户确认。先写一页被后续测试引用的接口说明。1 日，不是协议栈。</t>
        </is>
      </c>
    </row>
    <row r="22">
      <c r="A22" s="2" t="inlineStr">
        <is>
          <t>E6</t>
        </is>
      </c>
      <c r="B22" s="2" t="inlineStr">
        <is>
          <t>E6-S2</t>
        </is>
      </c>
      <c r="C22" s="2" t="inlineStr">
        <is>
          <t>RX RMII 周期发送 UDP</t>
        </is>
      </c>
      <c r="D22" s="2" t="n">
        <v>10</v>
      </c>
      <c r="E22" s="7" t="inlineStr">
        <is>
          <t>MAC 地址和收发使能已经写下。10 日只覆盖静态地址上的一个周期 UDP 状态包，没有 TCP、网页和 TLS。</t>
        </is>
      </c>
    </row>
    <row r="23">
      <c r="A23" s="2" t="inlineStr">
        <is>
          <t>E6</t>
        </is>
      </c>
      <c r="B23" s="2" t="inlineStr">
        <is>
          <t>E6-S3</t>
        </is>
      </c>
      <c r="C23" s="2" t="inlineStr">
        <is>
          <t>RA RGMII 周期发送 UDP</t>
        </is>
      </c>
      <c r="D23" s="2" t="n">
        <v>12</v>
      </c>
      <c r="E23" s="7" t="inlineStr">
        <is>
          <t>字节布局复用 RX 的测试，所以不是从零再设计报文。RGMII 和 PHY 尚未证实，比 RX 多 2 日，共 12 日。PHY 未就绪时停在字节测试，发布不因此改期。</t>
        </is>
      </c>
    </row>
    <row r="24">
      <c r="A24" s="2" t="inlineStr">
        <is>
          <t>E6</t>
        </is>
      </c>
      <c r="B24" s="2" t="inlineStr">
        <is>
          <t>E6-S4</t>
        </is>
      </c>
      <c r="C24" s="2" t="inlineStr">
        <is>
          <t>上位机显示 UDP</t>
        </is>
      </c>
      <c r="D24" s="2" t="n">
        <v>4</v>
      </c>
      <c r="E24" s="7" t="inlineStr">
        <is>
          <t>用录好的 UDP 包驱动界面，不取代 HL1 命令通道。与选择 CDC 同级，4 日。</t>
        </is>
      </c>
    </row>
    <row r="25">
      <c r="A25" s="2" t="inlineStr">
        <is>
          <t>E7</t>
        </is>
      </c>
      <c r="B25" s="2" t="inlineStr">
        <is>
          <t>E7-S1</t>
        </is>
      </c>
      <c r="C25" s="2" t="inlineStr">
        <is>
          <t>发布前 P1 回归</t>
        </is>
      </c>
      <c r="D25" s="2" t="n">
        <v>12</v>
      </c>
      <c r="E25" s="7" t="inlineStr">
        <is>
          <t>每个 story 已经含自己的实机验收。这里是发布前再跑一轮既有 P1，并抽查新命令，仍按 12 日。不把 18.5 人日的当前测试再加一次。</t>
        </is>
      </c>
    </row>
    <row r="26">
      <c r="A26" s="2" t="inlineStr">
        <is>
          <t>E7</t>
        </is>
      </c>
      <c r="B26" s="2" t="inlineStr">
        <is>
          <t>E7-S2</t>
        </is>
      </c>
      <c r="C26" s="2" t="inlineStr">
        <is>
          <t>文档与 v* 标签</t>
        </is>
      </c>
      <c r="D26" s="2" t="n">
        <v>3</v>
      </c>
      <c r="E26" s="7" t="inlineStr">
        <is>
          <t>中日文档的主体已经在仓库里。3 日是按行为变化收口、打标签、确认发布产物，不是从零写规格。</t>
        </is>
      </c>
    </row>
    <row r="27">
      <c r="A27" s="2" t="inlineStr"/>
      <c r="B27" s="2" t="inlineStr"/>
      <c r="C27" s="2" t="inlineStr">
        <is>
          <t>合计</t>
        </is>
      </c>
      <c r="D27" s="4">
        <f>SUM(D2:D26)</f>
        <v/>
      </c>
    </row>
  </sheetData>
  <autoFilter ref="A1:D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5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3" t="inlineStr">
        <is>
          <t>迭代</t>
        </is>
      </c>
      <c r="B1" s="3" t="inlineStr">
        <is>
          <t>开始</t>
        </is>
      </c>
      <c r="C1" s="3" t="inlineStr">
        <is>
          <t>结束</t>
        </is>
      </c>
      <c r="D1" s="3" t="inlineStr">
        <is>
          <t>story</t>
        </is>
      </c>
      <c r="E1" s="3" t="inlineStr">
        <is>
          <t>story人日</t>
        </is>
      </c>
      <c r="F1" s="3" t="inlineStr">
        <is>
          <t>管理人日</t>
        </is>
      </c>
      <c r="G1" s="3" t="inlineStr">
        <is>
          <t>共有开销</t>
        </is>
      </c>
      <c r="H1" s="3" t="inlineStr">
        <is>
          <t>出勤人日</t>
        </is>
      </c>
    </row>
    <row r="2">
      <c r="A2" s="2" t="n">
        <v>1</v>
      </c>
      <c r="B2" s="2" t="inlineStr">
        <is>
          <t>2026-11-02</t>
        </is>
      </c>
      <c r="C2" s="2" t="inlineStr">
        <is>
          <t>2026-11-13</t>
        </is>
      </c>
      <c r="D2" s="2" t="inlineStr">
        <is>
          <t>E0-S1、E0-S2、E0-S4</t>
        </is>
      </c>
      <c r="E2" s="2" t="n">
        <v>6</v>
      </c>
      <c r="F2" s="2" t="n">
        <v>2</v>
      </c>
      <c r="G2" s="2" t="n">
        <v>2</v>
      </c>
      <c r="H2" s="2" t="n">
        <v>10</v>
      </c>
    </row>
    <row r="3">
      <c r="A3" s="2" t="n">
        <v>2</v>
      </c>
      <c r="B3" s="2" t="inlineStr">
        <is>
          <t>2026-11-16</t>
        </is>
      </c>
      <c r="C3" s="2" t="inlineStr">
        <is>
          <t>2026-11-27</t>
        </is>
      </c>
      <c r="D3" s="2" t="inlineStr">
        <is>
          <t>E0-S5、E0-S3 开始（1/12）</t>
        </is>
      </c>
      <c r="E3" s="2" t="n">
        <v>6</v>
      </c>
      <c r="F3" s="2" t="n">
        <v>2</v>
      </c>
      <c r="G3" s="2" t="n">
        <v>2</v>
      </c>
      <c r="H3" s="2" t="n">
        <v>10</v>
      </c>
    </row>
    <row r="4">
      <c r="A4" s="2" t="n">
        <v>3</v>
      </c>
      <c r="B4" s="2" t="inlineStr">
        <is>
          <t>2026-11-30</t>
        </is>
      </c>
      <c r="C4" s="2" t="inlineStr">
        <is>
          <t>2026-12-11</t>
        </is>
      </c>
      <c r="D4" s="2" t="inlineStr">
        <is>
          <t>E0-S3 继续（6/12）</t>
        </is>
      </c>
      <c r="E4" s="2" t="n">
        <v>6</v>
      </c>
      <c r="F4" s="2" t="n">
        <v>2</v>
      </c>
      <c r="G4" s="2" t="n">
        <v>2</v>
      </c>
      <c r="H4" s="2" t="n">
        <v>10</v>
      </c>
    </row>
    <row r="5">
      <c r="A5" s="2" t="n">
        <v>4</v>
      </c>
      <c r="B5" s="2" t="inlineStr">
        <is>
          <t>2026-12-14</t>
        </is>
      </c>
      <c r="C5" s="2" t="inlineStr">
        <is>
          <t>2026-12-25</t>
        </is>
      </c>
      <c r="D5" s="2" t="inlineStr">
        <is>
          <t>E0-S3 完成（5/12）、E1-S1 开始（1/3）</t>
        </is>
      </c>
      <c r="E5" s="2" t="n">
        <v>6</v>
      </c>
      <c r="F5" s="2" t="n">
        <v>2</v>
      </c>
      <c r="G5" s="2" t="n">
        <v>2</v>
      </c>
      <c r="H5" s="2" t="n">
        <v>10</v>
      </c>
    </row>
    <row r="6">
      <c r="A6" s="2" t="n">
        <v>5</v>
      </c>
      <c r="B6" s="2" t="inlineStr">
        <is>
          <t>2026-12-28</t>
        </is>
      </c>
      <c r="C6" s="2" t="inlineStr">
        <is>
          <t>2027-01-08</t>
        </is>
      </c>
      <c r="D6" s="2" t="inlineStr">
        <is>
          <t>E1-S1 完成（2/3）、E2-S1 开始（4/5）</t>
        </is>
      </c>
      <c r="E6" s="2" t="n">
        <v>6</v>
      </c>
      <c r="F6" s="2" t="n">
        <v>2</v>
      </c>
      <c r="G6" s="2" t="n">
        <v>2</v>
      </c>
      <c r="H6" s="2" t="n">
        <v>10</v>
      </c>
    </row>
    <row r="7">
      <c r="A7" s="2" t="n">
        <v>6</v>
      </c>
      <c r="B7" s="2" t="inlineStr">
        <is>
          <t>2027-01-11</t>
        </is>
      </c>
      <c r="C7" s="2" t="inlineStr">
        <is>
          <t>2027-01-22</t>
        </is>
      </c>
      <c r="D7" s="2" t="inlineStr">
        <is>
          <t>E2-S1 完成（1/5）、E2-S2、E2-S3 开始（1/4）</t>
        </is>
      </c>
      <c r="E7" s="2" t="n">
        <v>6</v>
      </c>
      <c r="F7" s="2" t="n">
        <v>2</v>
      </c>
      <c r="G7" s="2" t="n">
        <v>2</v>
      </c>
      <c r="H7" s="2" t="n">
        <v>10</v>
      </c>
    </row>
    <row r="8">
      <c r="A8" s="2" t="n">
        <v>7</v>
      </c>
      <c r="B8" s="2" t="inlineStr">
        <is>
          <t>2027-01-25</t>
        </is>
      </c>
      <c r="C8" s="2" t="inlineStr">
        <is>
          <t>2027-02-05</t>
        </is>
      </c>
      <c r="D8" s="2" t="inlineStr">
        <is>
          <t>E2-S3 完成（3/4）、E2-S4</t>
        </is>
      </c>
      <c r="E8" s="2" t="n">
        <v>6</v>
      </c>
      <c r="F8" s="2" t="n">
        <v>2</v>
      </c>
      <c r="G8" s="2" t="n">
        <v>2</v>
      </c>
      <c r="H8" s="2" t="n">
        <v>10</v>
      </c>
    </row>
    <row r="9">
      <c r="A9" s="2" t="n">
        <v>8</v>
      </c>
      <c r="B9" s="2" t="inlineStr">
        <is>
          <t>2027-02-08</t>
        </is>
      </c>
      <c r="C9" s="2" t="inlineStr">
        <is>
          <t>2027-02-19</t>
        </is>
      </c>
      <c r="D9" s="2" t="inlineStr">
        <is>
          <t>E3-S1 开始（6/8）</t>
        </is>
      </c>
      <c r="E9" s="2" t="n">
        <v>6</v>
      </c>
      <c r="F9" s="2" t="n">
        <v>2</v>
      </c>
      <c r="G9" s="2" t="n">
        <v>2</v>
      </c>
      <c r="H9" s="2" t="n">
        <v>10</v>
      </c>
    </row>
    <row r="10">
      <c r="A10" s="2" t="n">
        <v>9</v>
      </c>
      <c r="B10" s="2" t="inlineStr">
        <is>
          <t>2027-02-22</t>
        </is>
      </c>
      <c r="C10" s="2" t="inlineStr">
        <is>
          <t>2027-03-05</t>
        </is>
      </c>
      <c r="D10" s="2" t="inlineStr">
        <is>
          <t>E3-S1 完成（2/8）、E3-S3 开始（4/5）</t>
        </is>
      </c>
      <c r="E10" s="2" t="n">
        <v>6</v>
      </c>
      <c r="F10" s="2" t="n">
        <v>2</v>
      </c>
      <c r="G10" s="2" t="n">
        <v>2</v>
      </c>
      <c r="H10" s="2" t="n">
        <v>10</v>
      </c>
    </row>
    <row r="11">
      <c r="A11" s="2" t="n">
        <v>10</v>
      </c>
      <c r="B11" s="2" t="inlineStr">
        <is>
          <t>2027-03-08</t>
        </is>
      </c>
      <c r="C11" s="2" t="inlineStr">
        <is>
          <t>2027-03-19</t>
        </is>
      </c>
      <c r="D11" s="2" t="inlineStr">
        <is>
          <t>E3-S3 完成（1/5）、E3-S2 开始（5/8）</t>
        </is>
      </c>
      <c r="E11" s="2" t="n">
        <v>6</v>
      </c>
      <c r="F11" s="2" t="n">
        <v>2</v>
      </c>
      <c r="G11" s="2" t="n">
        <v>2</v>
      </c>
      <c r="H11" s="2" t="n">
        <v>10</v>
      </c>
    </row>
    <row r="12">
      <c r="A12" s="2" t="n">
        <v>11</v>
      </c>
      <c r="B12" s="2" t="inlineStr">
        <is>
          <t>2027-03-22</t>
        </is>
      </c>
      <c r="C12" s="2" t="inlineStr">
        <is>
          <t>2027-04-02</t>
        </is>
      </c>
      <c r="D12" s="2" t="inlineStr">
        <is>
          <t>E3-S2 完成（3/8）、E4-S1 开始（3/6）</t>
        </is>
      </c>
      <c r="E12" s="2" t="n">
        <v>6</v>
      </c>
      <c r="F12" s="2" t="n">
        <v>2</v>
      </c>
      <c r="G12" s="2" t="n">
        <v>2</v>
      </c>
      <c r="H12" s="2" t="n">
        <v>10</v>
      </c>
    </row>
    <row r="13">
      <c r="A13" s="2" t="n">
        <v>12</v>
      </c>
      <c r="B13" s="2" t="inlineStr">
        <is>
          <t>2027-04-05</t>
        </is>
      </c>
      <c r="C13" s="2" t="inlineStr">
        <is>
          <t>2027-04-16</t>
        </is>
      </c>
      <c r="D13" s="2" t="inlineStr">
        <is>
          <t>E4-S1 完成（3/6）、E4-S3</t>
        </is>
      </c>
      <c r="E13" s="2" t="n">
        <v>6</v>
      </c>
      <c r="F13" s="2" t="n">
        <v>2</v>
      </c>
      <c r="G13" s="2" t="n">
        <v>2</v>
      </c>
      <c r="H13" s="2" t="n">
        <v>10</v>
      </c>
    </row>
    <row r="14">
      <c r="A14" s="2" t="n">
        <v>13</v>
      </c>
      <c r="B14" s="2" t="inlineStr">
        <is>
          <t>2027-04-19</t>
        </is>
      </c>
      <c r="C14" s="2" t="inlineStr">
        <is>
          <t>2027-04-30</t>
        </is>
      </c>
      <c r="D14" s="2" t="inlineStr">
        <is>
          <t>E4-S2、E5-S1 开始（1/8）</t>
        </is>
      </c>
      <c r="E14" s="2" t="n">
        <v>6</v>
      </c>
      <c r="F14" s="2" t="n">
        <v>2</v>
      </c>
      <c r="G14" s="2" t="n">
        <v>2</v>
      </c>
      <c r="H14" s="2" t="n">
        <v>10</v>
      </c>
    </row>
    <row r="15">
      <c r="A15" s="2" t="n">
        <v>14</v>
      </c>
      <c r="B15" s="2" t="inlineStr">
        <is>
          <t>2027-05-03</t>
        </is>
      </c>
      <c r="C15" s="2" t="inlineStr">
        <is>
          <t>2027-05-14</t>
        </is>
      </c>
      <c r="D15" s="2" t="inlineStr">
        <is>
          <t>E5-S1 继续（6/8）</t>
        </is>
      </c>
      <c r="E15" s="2" t="n">
        <v>6</v>
      </c>
      <c r="F15" s="2" t="n">
        <v>2</v>
      </c>
      <c r="G15" s="2" t="n">
        <v>2</v>
      </c>
      <c r="H15" s="2" t="n">
        <v>10</v>
      </c>
    </row>
    <row r="16">
      <c r="A16" s="2" t="n">
        <v>15</v>
      </c>
      <c r="B16" s="2" t="inlineStr">
        <is>
          <t>2027-05-17</t>
        </is>
      </c>
      <c r="C16" s="2" t="inlineStr">
        <is>
          <t>2027-05-28</t>
        </is>
      </c>
      <c r="D16" s="2" t="inlineStr">
        <is>
          <t>E5-S1 完成（1/8）、E5-S2 开始（5/8）</t>
        </is>
      </c>
      <c r="E16" s="2" t="n">
        <v>6</v>
      </c>
      <c r="F16" s="2" t="n">
        <v>2</v>
      </c>
      <c r="G16" s="2" t="n">
        <v>2</v>
      </c>
      <c r="H16" s="2" t="n">
        <v>10</v>
      </c>
    </row>
    <row r="17">
      <c r="A17" s="2" t="n">
        <v>16</v>
      </c>
      <c r="B17" s="2" t="inlineStr">
        <is>
          <t>2027-05-31</t>
        </is>
      </c>
      <c r="C17" s="2" t="inlineStr">
        <is>
          <t>2027-06-11</t>
        </is>
      </c>
      <c r="D17" s="2" t="inlineStr">
        <is>
          <t>E5-S2 完成（3/8）、E5-S3 开始（3/4）</t>
        </is>
      </c>
      <c r="E17" s="2" t="n">
        <v>6</v>
      </c>
      <c r="F17" s="2" t="n">
        <v>2</v>
      </c>
      <c r="G17" s="2" t="n">
        <v>2</v>
      </c>
      <c r="H17" s="2" t="n">
        <v>10</v>
      </c>
    </row>
    <row r="18">
      <c r="A18" s="2" t="n">
        <v>17</v>
      </c>
      <c r="B18" s="2" t="inlineStr">
        <is>
          <t>2027-06-14</t>
        </is>
      </c>
      <c r="C18" s="2" t="inlineStr">
        <is>
          <t>2027-06-25</t>
        </is>
      </c>
      <c r="D18" s="2" t="inlineStr">
        <is>
          <t>E5-S3 完成（1/4）、E6-S1、E6-S2 开始（4/10）</t>
        </is>
      </c>
      <c r="E18" s="2" t="n">
        <v>6</v>
      </c>
      <c r="F18" s="2" t="n">
        <v>2</v>
      </c>
      <c r="G18" s="2" t="n">
        <v>2</v>
      </c>
      <c r="H18" s="2" t="n">
        <v>10</v>
      </c>
    </row>
    <row r="19">
      <c r="A19" s="2" t="n">
        <v>18</v>
      </c>
      <c r="B19" s="2" t="inlineStr">
        <is>
          <t>2027-06-28</t>
        </is>
      </c>
      <c r="C19" s="2" t="inlineStr">
        <is>
          <t>2027-07-09</t>
        </is>
      </c>
      <c r="D19" s="2" t="inlineStr">
        <is>
          <t>E6-S2 完成（6/10）</t>
        </is>
      </c>
      <c r="E19" s="2" t="n">
        <v>6</v>
      </c>
      <c r="F19" s="2" t="n">
        <v>2</v>
      </c>
      <c r="G19" s="2" t="n">
        <v>2</v>
      </c>
      <c r="H19" s="2" t="n">
        <v>10</v>
      </c>
    </row>
    <row r="20">
      <c r="A20" s="2" t="n">
        <v>19</v>
      </c>
      <c r="B20" s="2" t="inlineStr">
        <is>
          <t>2027-07-12</t>
        </is>
      </c>
      <c r="C20" s="2" t="inlineStr">
        <is>
          <t>2027-07-23</t>
        </is>
      </c>
      <c r="D20" s="2" t="inlineStr">
        <is>
          <t>E6-S3 开始（6/12）</t>
        </is>
      </c>
      <c r="E20" s="2" t="n">
        <v>6</v>
      </c>
      <c r="F20" s="2" t="n">
        <v>2</v>
      </c>
      <c r="G20" s="2" t="n">
        <v>2</v>
      </c>
      <c r="H20" s="2" t="n">
        <v>10</v>
      </c>
    </row>
    <row r="21">
      <c r="A21" s="2" t="n">
        <v>20</v>
      </c>
      <c r="B21" s="2" t="inlineStr">
        <is>
          <t>2027-07-26</t>
        </is>
      </c>
      <c r="C21" s="2" t="inlineStr">
        <is>
          <t>2027-08-06</t>
        </is>
      </c>
      <c r="D21" s="2" t="inlineStr">
        <is>
          <t>E6-S3 完成（6/12）</t>
        </is>
      </c>
      <c r="E21" s="2" t="n">
        <v>6</v>
      </c>
      <c r="F21" s="2" t="n">
        <v>2</v>
      </c>
      <c r="G21" s="2" t="n">
        <v>2</v>
      </c>
      <c r="H21" s="2" t="n">
        <v>10</v>
      </c>
    </row>
    <row r="22">
      <c r="A22" s="2" t="n">
        <v>21</v>
      </c>
      <c r="B22" s="2" t="inlineStr">
        <is>
          <t>2027-08-09</t>
        </is>
      </c>
      <c r="C22" s="2" t="inlineStr">
        <is>
          <t>2027-08-20</t>
        </is>
      </c>
      <c r="D22" s="2" t="inlineStr">
        <is>
          <t>E6-S4、E7-S1 开始（2/12）</t>
        </is>
      </c>
      <c r="E22" s="2" t="n">
        <v>6</v>
      </c>
      <c r="F22" s="2" t="n">
        <v>2</v>
      </c>
      <c r="G22" s="2" t="n">
        <v>2</v>
      </c>
      <c r="H22" s="2" t="n">
        <v>10</v>
      </c>
    </row>
    <row r="23">
      <c r="A23" s="2" t="n">
        <v>22</v>
      </c>
      <c r="B23" s="2" t="inlineStr">
        <is>
          <t>2027-08-23</t>
        </is>
      </c>
      <c r="C23" s="2" t="inlineStr">
        <is>
          <t>2027-09-03</t>
        </is>
      </c>
      <c r="D23" s="2" t="inlineStr">
        <is>
          <t>E7-S1 继续（6/12）</t>
        </is>
      </c>
      <c r="E23" s="2" t="n">
        <v>6</v>
      </c>
      <c r="F23" s="2" t="n">
        <v>2</v>
      </c>
      <c r="G23" s="2" t="n">
        <v>2</v>
      </c>
      <c r="H23" s="2" t="n">
        <v>10</v>
      </c>
    </row>
    <row r="24">
      <c r="A24" s="2" t="n">
        <v>23</v>
      </c>
      <c r="B24" s="2" t="inlineStr">
        <is>
          <t>2027-09-06</t>
        </is>
      </c>
      <c r="C24" s="2" t="inlineStr">
        <is>
          <t>2027-09-17</t>
        </is>
      </c>
      <c r="D24" s="2" t="inlineStr">
        <is>
          <t>E7-S1 完成（4/12）、E7-S2 开始（2/3）</t>
        </is>
      </c>
      <c r="E24" s="2" t="n">
        <v>6</v>
      </c>
      <c r="F24" s="2" t="n">
        <v>2</v>
      </c>
      <c r="G24" s="2" t="n">
        <v>2</v>
      </c>
      <c r="H24" s="2" t="n">
        <v>10</v>
      </c>
    </row>
    <row r="25">
      <c r="A25" s="2" t="n">
        <v>24</v>
      </c>
      <c r="B25" s="2" t="inlineStr">
        <is>
          <t>2027-09-20</t>
        </is>
      </c>
      <c r="C25" s="2" t="inlineStr">
        <is>
          <t>2027-10-01</t>
        </is>
      </c>
      <c r="D25" s="2" t="inlineStr">
        <is>
          <t>E7-S2 完成（1/3）</t>
        </is>
      </c>
      <c r="E25" s="2" t="n">
        <v>1</v>
      </c>
      <c r="F25" s="2" t="n">
        <v>2</v>
      </c>
      <c r="G25" s="2" t="n">
        <v>2</v>
      </c>
      <c r="H25" s="2" t="n">
        <v>10</v>
      </c>
    </row>
    <row r="26">
      <c r="A26" s="2" t="inlineStr">
        <is>
          <t>合计</t>
        </is>
      </c>
      <c r="B26" s="2" t="inlineStr"/>
      <c r="C26" s="2" t="inlineStr"/>
      <c r="D26" s="2" t="inlineStr"/>
      <c r="E26" s="2">
        <f>SUM(E2:E25)</f>
        <v/>
      </c>
      <c r="F26" s="2">
        <f>SUM(F2:F25)</f>
        <v/>
      </c>
      <c r="G26" s="2">
        <f>SUM(G2:G25)</f>
        <v/>
      </c>
      <c r="H26" s="2">
        <f>SUM(H2:H25)</f>
        <v/>
      </c>
    </row>
  </sheetData>
  <autoFilter ref="A1:H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6" customWidth="1" min="4" max="4"/>
    <col width="20" customWidth="1" min="5" max="5"/>
    <col width="12" customWidth="1" min="6" max="6"/>
    <col width="14" customWidth="1" min="7" max="7"/>
    <col width="14" customWidth="1" min="8" max="8"/>
    <col width="18" customWidth="1" min="9" max="9"/>
    <col width="14" customWidth="1" min="10" max="10"/>
  </cols>
  <sheetData>
    <row r="1" ht="22" customHeight="1">
      <c r="A1" s="3" t="inlineStr">
        <is>
          <t>角色</t>
        </is>
      </c>
      <c r="B1" s="3" t="inlineStr">
        <is>
          <t>职责</t>
        </is>
      </c>
      <c r="C1" s="3" t="inlineStr">
        <is>
          <t>每迭代开发</t>
        </is>
      </c>
      <c r="D1" s="3" t="inlineStr">
        <is>
          <t>每迭代管理</t>
        </is>
      </c>
      <c r="E1" s="3" t="inlineStr">
        <is>
          <t>每迭代共有开销</t>
        </is>
      </c>
      <c r="F1" s="3" t="inlineStr">
        <is>
          <t>迭代数</t>
        </is>
      </c>
      <c r="G1" s="3" t="inlineStr">
        <is>
          <t>开发合计</t>
        </is>
      </c>
      <c r="H1" s="3" t="inlineStr">
        <is>
          <t>管理合计</t>
        </is>
      </c>
      <c r="I1" s="3" t="inlineStr">
        <is>
          <t>共有开销合计</t>
        </is>
      </c>
      <c r="J1" s="3" t="inlineStr">
        <is>
          <t>出勤合计</t>
        </is>
      </c>
    </row>
    <row r="2">
      <c r="A2" s="2" t="inlineStr">
        <is>
          <t>A 负责人</t>
        </is>
      </c>
      <c r="B2" s="2" t="inlineStr">
        <is>
          <t>协议、上位机、CI、客户沟通与验收</t>
        </is>
      </c>
      <c r="C2" s="2" t="n">
        <v>5</v>
      </c>
      <c r="D2" s="2" t="n">
        <v>3</v>
      </c>
      <c r="E2" s="2" t="n">
        <v>2</v>
      </c>
      <c r="F2" s="2" t="n">
        <v>8</v>
      </c>
      <c r="G2" s="2">
        <f>C2*F2</f>
        <v/>
      </c>
      <c r="H2" s="2">
        <f>D2*F2</f>
        <v/>
      </c>
      <c r="I2" s="2">
        <f>E2*F2</f>
        <v/>
      </c>
      <c r="J2" s="2">
        <f>G2+H2+I2</f>
        <v/>
      </c>
    </row>
    <row r="3">
      <c r="A3" s="2" t="inlineStr">
        <is>
          <t>B RX71M</t>
        </is>
      </c>
      <c r="B3" s="2" t="inlineStr">
        <is>
          <t>RX 固件与 RX 实机</t>
        </is>
      </c>
      <c r="C3" s="2" t="n">
        <v>8</v>
      </c>
      <c r="D3" s="2" t="n">
        <v>0</v>
      </c>
      <c r="E3" s="2" t="n">
        <v>2</v>
      </c>
      <c r="F3" s="2" t="n">
        <v>8</v>
      </c>
      <c r="G3" s="2">
        <f>C3*F3</f>
        <v/>
      </c>
      <c r="H3" s="2">
        <f>D3*F3</f>
        <v/>
      </c>
      <c r="I3" s="2">
        <f>E3*F3</f>
        <v/>
      </c>
      <c r="J3" s="2">
        <f>G3+H3+I3</f>
        <v/>
      </c>
    </row>
    <row r="4">
      <c r="A4" s="2" t="inlineStr">
        <is>
          <t>C RA8P</t>
        </is>
      </c>
      <c r="B4" s="2" t="inlineStr">
        <is>
          <t>RA 固件、CAN FD、RGMII 与 RA 实机</t>
        </is>
      </c>
      <c r="C4" s="2" t="n">
        <v>8</v>
      </c>
      <c r="D4" s="2" t="n">
        <v>0</v>
      </c>
      <c r="E4" s="2" t="n">
        <v>2</v>
      </c>
      <c r="F4" s="2" t="n">
        <v>8</v>
      </c>
      <c r="G4" s="2">
        <f>C4*F4</f>
        <v/>
      </c>
      <c r="H4" s="2">
        <f>D4*F4</f>
        <v/>
      </c>
      <c r="I4" s="2">
        <f>E4*F4</f>
        <v/>
      </c>
      <c r="J4" s="2">
        <f>G4+H4+I4</f>
        <v/>
      </c>
    </row>
    <row r="5">
      <c r="A5" s="2" t="inlineStr">
        <is>
          <t>合计</t>
        </is>
      </c>
      <c r="B5" s="2" t="inlineStr"/>
      <c r="C5" s="2" t="inlineStr"/>
      <c r="D5" s="2" t="inlineStr"/>
      <c r="E5" s="2" t="inlineStr"/>
      <c r="F5" s="2" t="inlineStr"/>
      <c r="G5" s="2">
        <f>SUM(G2:G4)</f>
        <v/>
      </c>
      <c r="H5" s="2">
        <f>SUM(H2:H4)</f>
        <v/>
      </c>
      <c r="I5" s="2">
        <f>SUM(I2:I4)</f>
        <v/>
      </c>
      <c r="J5" s="2">
        <f>SUM(J2:J4)</f>
        <v/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</cols>
  <sheetData>
    <row r="1" ht="22" customHeight="1">
      <c r="A1" s="3" t="inlineStr">
        <is>
          <t>项目</t>
        </is>
      </c>
      <c r="B1" s="3" t="inlineStr">
        <is>
          <t>一人（负责人单独）</t>
        </is>
      </c>
      <c r="C1" s="3" t="inlineStr">
        <is>
          <t>三人</t>
        </is>
      </c>
    </row>
    <row r="2">
      <c r="A2" s="2" t="inlineStr">
        <is>
          <t>执行者</t>
        </is>
      </c>
      <c r="B2" s="2" t="inlineStr">
        <is>
          <t>负责人 A</t>
        </is>
      </c>
      <c r="C2" s="2" t="inlineStr">
        <is>
          <t>A 负责人，B 为 RX，C 为 RA</t>
        </is>
      </c>
    </row>
    <row r="3">
      <c r="A3" s="2" t="inlineStr">
        <is>
          <t>迭代数</t>
        </is>
      </c>
      <c r="B3" s="2" t="n">
        <v>24</v>
      </c>
      <c r="C3" s="2" t="n">
        <v>8</v>
      </c>
    </row>
    <row r="4">
      <c r="A4" s="2" t="inlineStr">
        <is>
          <t>日历结束</t>
        </is>
      </c>
      <c r="B4" s="8" t="n">
        <v>46661</v>
      </c>
      <c r="C4" s="8" t="n">
        <v>46437</v>
      </c>
    </row>
    <row r="5">
      <c r="A5" s="2" t="inlineStr">
        <is>
          <t>报价出勤</t>
        </is>
      </c>
      <c r="B5" s="2">
        <f>24*10</f>
        <v/>
      </c>
      <c r="C5" s="2">
        <f>三人预算!J5</f>
        <v/>
      </c>
    </row>
    <row r="6">
      <c r="A6" s="2" t="inlineStr">
        <is>
          <t>管理</t>
        </is>
      </c>
      <c r="B6" s="2">
        <f>24*2</f>
        <v/>
      </c>
      <c r="C6" s="2">
        <f>三人预算!H5</f>
        <v/>
      </c>
    </row>
    <row r="7">
      <c r="A7" s="2" t="inlineStr">
        <is>
          <t>开发池</t>
        </is>
      </c>
      <c r="B7" s="2">
        <f>24*6</f>
        <v/>
      </c>
      <c r="C7" s="2">
        <f>三人预算!G5</f>
        <v/>
      </c>
    </row>
    <row r="8">
      <c r="A8" s="2" t="inlineStr">
        <is>
          <t>共有开销</t>
        </is>
      </c>
      <c r="B8" s="2">
        <f>24*2</f>
        <v/>
      </c>
      <c r="C8" s="2">
        <f>三人预算!I5</f>
        <v/>
      </c>
    </row>
    <row r="9">
      <c r="A9" s="2" t="inlineStr">
        <is>
          <t>story</t>
        </is>
      </c>
      <c r="B9" s="2" t="n">
        <v>139</v>
      </c>
      <c r="C9" s="2" t="n">
        <v>139</v>
      </c>
    </row>
    <row r="10">
      <c r="A10" s="2" t="inlineStr">
        <is>
          <t>开发余量</t>
        </is>
      </c>
      <c r="B10" s="2">
        <f>C7-C9</f>
        <v/>
      </c>
      <c r="C10" s="2">
        <f>D7-D9</f>
        <v/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8" customWidth="1" min="3" max="3"/>
  </cols>
  <sheetData>
    <row r="1" ht="22" customHeight="1">
      <c r="A1" s="9" t="inlineStr">
        <is>
          <t>项目</t>
        </is>
      </c>
      <c r="B1" s="9" t="inlineStr">
        <is>
          <t>数字</t>
        </is>
      </c>
      <c r="C1" s="9" t="inlineStr">
        <is>
          <t>依据</t>
        </is>
      </c>
    </row>
    <row r="2">
      <c r="A2" s="10" t="inlineStr">
        <is>
          <t>E0-S1 最可能 1</t>
        </is>
      </c>
      <c r="B2" s="10" t="n">
        <v>1</v>
      </c>
      <c r="C2" s="10" t="inlineStr">
        <is>
          <t>O 0.8，P 1.5，期望 1.0。一页验收假设，没有产品代码。按一个理想日，含写成和自己读一遍。</t>
        </is>
      </c>
    </row>
    <row r="3">
      <c r="A3" s="11" t="inlineStr">
        <is>
          <t>E0-S2 最可能 3</t>
        </is>
      </c>
      <c r="B3" s="11" t="n">
        <v>3</v>
      </c>
      <c r="C3" s="11" t="inlineStr">
        <is>
          <t>O 2.2，P 4.5，期望 3.1。在已经存在的帧上补失败用例，C 与 Pascal 各一套。三日是列向量、看到失败、补断言。</t>
        </is>
      </c>
    </row>
    <row r="4">
      <c r="A4" s="10" t="inlineStr">
        <is>
          <t>E0-S4 最可能 2</t>
        </is>
      </c>
      <c r="B4" s="10" t="n">
        <v>2</v>
      </c>
      <c r="C4" s="10" t="inlineStr">
        <is>
          <t>O 1.4，P 3.6，期望 2.2。登记自托管运行器并看到固件作业变绿。makefile 使用绝对路径，这一已知失败点使它不是 1 日就能结束的注册。</t>
        </is>
      </c>
    </row>
    <row r="5">
      <c r="A5" s="11" t="inlineStr">
        <is>
          <t>E0-S5 最可能 5</t>
        </is>
      </c>
      <c r="B5" s="11" t="n">
        <v>5</v>
      </c>
      <c r="C5" s="11" t="inlineStr">
        <is>
          <t>O 3.8，P 7.5，期望 5.2。两个工程按外设搬家并保持行为，再编 Debug 与 Release。这是重构，不是新功能，按 5 个理想日。</t>
        </is>
      </c>
    </row>
    <row r="6">
      <c r="A6" s="10" t="inlineStr">
        <is>
          <t>E0-S3 最可能 12</t>
        </is>
      </c>
      <c r="B6" s="10" t="n">
        <v>12</v>
      </c>
      <c r="C6" s="10" t="inlineStr">
        <is>
          <t>O 8.4，P 21.6，期望 13.0。系统测试的环境 3.0 人日，加上 P1 实机 70 小时（8.75 人日），合计 11.75，取整为 12。P2、长稳和 3 人日回归余量不在这里。</t>
        </is>
      </c>
    </row>
    <row r="7">
      <c r="A7" s="11" t="inlineStr">
        <is>
          <t>E1-S1 最可能 3</t>
        </is>
      </c>
      <c r="B7" s="11" t="n">
        <v>3</v>
      </c>
      <c r="C7" s="11" t="inlineStr">
        <is>
          <t>O 2.1，P 5.4，期望 3.2。只改 RX 的四路比较寄存器并核对波形，RA 不动。含先写失败测试和实机测量。系统测试里仅 PWM 波形一项就是 8 小时量级。</t>
        </is>
      </c>
    </row>
    <row r="8">
      <c r="A8" s="10" t="inlineStr">
        <is>
          <t>E2-S1 最可能 5</t>
        </is>
      </c>
      <c r="B8" s="10" t="n">
        <v>5</v>
      </c>
      <c r="C8" s="10" t="inlineStr">
        <is>
          <t>O 3.5，P 9.0，期望 5.4。这一族命令的第一个。proto、C、Pascal 的黄金字节和两块板都要动。5 日用来建立以后三条命令会复用的模式。</t>
        </is>
      </c>
    </row>
    <row r="9">
      <c r="A9" s="11" t="inlineStr">
        <is>
          <t>E2-S2 最可能 4</t>
        </is>
      </c>
      <c r="B9" s="11" t="n">
        <v>4</v>
      </c>
      <c r="C9" s="11" t="inlineStr">
        <is>
          <t>O 3.0，P 6.0，期望 4.2。模式已由 E2-S1 建立。这里只加地址和 1 字节，并先有非法地址的失败用例。按第一项的八成，取 4 日。</t>
        </is>
      </c>
    </row>
    <row r="10">
      <c r="A10" s="10" t="inlineStr">
        <is>
          <t>E2-S3 最可能 4</t>
        </is>
      </c>
      <c r="B10" s="10" t="n">
        <v>4</v>
      </c>
      <c r="C10" s="10" t="inlineStr">
        <is>
          <t>O 3.0，P 6.0，期望 4.2。同样是跟随项。演示循环已经会发 Break 和 0x55，改成上位机给出的字节。4 日。</t>
        </is>
      </c>
    </row>
    <row r="11">
      <c r="A11" s="11" t="inlineStr">
        <is>
          <t>E2-S4 最可能 3</t>
        </is>
      </c>
      <c r="B11" s="11" t="n">
        <v>3</v>
      </c>
      <c r="C11" s="11" t="inlineStr">
        <is>
          <t>O 2.2，P 4.5，期望 3.1。三条命令合成一次界面修改和一套黄金向量，不把协议税再付三遍。3 日。</t>
        </is>
      </c>
    </row>
    <row r="12">
      <c r="A12" s="10" t="inlineStr">
        <is>
          <t>E3-S1 最可能 8</t>
        </is>
      </c>
      <c r="B12" s="10" t="n">
        <v>8</v>
      </c>
      <c r="C12" s="10" t="inlineStr">
        <is>
          <t>O 4.8，P 17.6，期望 9.1。发送路径已经有了。新增的是接收邮箱、CanLog，以及分析仪上的实机。新的硬件路径按 8 日，不和 RA 平分。</t>
        </is>
      </c>
    </row>
    <row r="13">
      <c r="A13" s="11" t="inlineStr">
        <is>
          <t>E3-S2 最可能 8</t>
        </is>
      </c>
      <c r="B13" s="11" t="n">
        <v>8</v>
      </c>
      <c r="C13" s="11" t="inlineStr">
        <is>
          <t>O 4.8，P 17.6，期望 9.1。CAN FD 的邮箱和经典 CAN 不是同一套寄存器。RX 的 8 日不能挪过来用。RA 再计 8 日。</t>
        </is>
      </c>
    </row>
    <row r="14">
      <c r="A14" s="10" t="inlineStr">
        <is>
          <t>E3-S3 最可能 5</t>
        </is>
      </c>
      <c r="B14" s="10" t="n">
        <v>5</v>
      </c>
      <c r="C14" s="10" t="inlineStr">
        <is>
          <t>O 3.5，P 9.0，期望 5.4。接收路径完成后才做过滤。工作是通过和拒绝两个向量，加上两侧实现。5 日，低于新开一条接收路径。</t>
        </is>
      </c>
    </row>
    <row r="15">
      <c r="A15" s="11" t="inlineStr">
        <is>
          <t>E4-S1 最可能 6</t>
        </is>
      </c>
      <c r="B15" s="11" t="n">
        <v>6</v>
      </c>
      <c r="C15" s="11" t="inlineStr">
        <is>
          <t>O 4.2，P 10.8，期望 6.5。环形缓冲先在主机上用同一组向量测完，固件再调用。256 帧、覆盖最旧、掉电不保留。不做 Flash，所以不是存储驱动的工时。6 日。</t>
        </is>
      </c>
    </row>
    <row r="16">
      <c r="A16" s="10" t="inlineStr">
        <is>
          <t>E4-S2 最可能 5</t>
        </is>
      </c>
      <c r="B16" s="10" t="n">
        <v>5</v>
      </c>
      <c r="C16" s="10" t="inlineStr">
        <is>
          <t>O 3.5，P 9.0，期望 5.4。分页和清空是新的编码，黄金字节要先失败再通过。板侧入库另计在 E4-S3。这里 5 日。</t>
        </is>
      </c>
    </row>
    <row r="17">
      <c r="A17" s="11" t="inlineStr">
        <is>
          <t>E4-S3 最可能 3</t>
        </is>
      </c>
      <c r="B17" s="11" t="n">
        <v>3</v>
      </c>
      <c r="C17" s="11" t="inlineStr">
        <is>
          <t>O 2.2，P 4.5，期望 3.1。收发路径已经有了，只把帧放进缓冲，并在未连接时不发送。集成按 3 日。</t>
        </is>
      </c>
    </row>
    <row r="18">
      <c r="A18" s="10" t="inlineStr">
        <is>
          <t>E5-S1 最可能 8</t>
        </is>
      </c>
      <c r="B18" s="10" t="n">
        <v>8</v>
      </c>
      <c r="C18" s="10" t="inlineStr">
        <is>
          <t>O 4.8，P 17.6，期望 9.1。现状只有 USB 时钟和 D+ 上拉。8 日只覆盖承载同一套 HL1 字节的设备侧管道，不含 USB 认证和高吞吐。解析器复用 E0-S2。</t>
        </is>
      </c>
    </row>
    <row r="19">
      <c r="A19" s="11" t="inlineStr">
        <is>
          <t>E5-S2 最可能 8</t>
        </is>
      </c>
      <c r="B19" s="11" t="n">
        <v>8</v>
      </c>
      <c r="C19" s="11" t="inlineStr">
        <is>
          <t>O 4.8，P 17.6，期望 9.1。RA 的 USB 控制器和 RX 不同，再计 8 日。UART 仍是验收通路，所以这 8 日失败时不把整份计划停住。</t>
        </is>
      </c>
    </row>
    <row r="20">
      <c r="A20" s="10" t="inlineStr">
        <is>
          <t>E5-S3 最可能 4</t>
        </is>
      </c>
      <c r="B20" s="10" t="n">
        <v>4</v>
      </c>
      <c r="C20" s="10" t="inlineStr">
        <is>
          <t>O 3.0，P 6.0，期望 4.2。帧格式不变，编码测试仍走原来的一套。只加 COM 与 CDC 的选择。4 日。</t>
        </is>
      </c>
    </row>
    <row r="21">
      <c r="A21" s="11" t="inlineStr">
        <is>
          <t>E6-S1 最可能 1</t>
        </is>
      </c>
      <c r="B21" s="11" t="n">
        <v>1</v>
      </c>
      <c r="C21" s="11" t="inlineStr">
        <is>
          <t>O 0.8，P 1.5，期望 1.0。PHY 地址、地址族和端口还没有客户确认。先写一页被后续测试引用的接口说明。1 日，不是协议栈。</t>
        </is>
      </c>
    </row>
    <row r="22">
      <c r="A22" s="10" t="inlineStr">
        <is>
          <t>E6-S2 最可能 10</t>
        </is>
      </c>
      <c r="B22" s="10" t="n">
        <v>10</v>
      </c>
      <c r="C22" s="10" t="inlineStr">
        <is>
          <t>O 6.0，P 22.0，期望 11.3。MAC 地址和收发使能已经写下。10 日只覆盖静态地址上的一个周期 UDP 状态包，没有 TCP、网页和 TLS。</t>
        </is>
      </c>
    </row>
    <row r="23">
      <c r="A23" s="11" t="inlineStr">
        <is>
          <t>E6-S3 最可能 12</t>
        </is>
      </c>
      <c r="B23" s="11" t="n">
        <v>12</v>
      </c>
      <c r="C23" s="11" t="inlineStr">
        <is>
          <t>O 7.2，P 26.4，期望 13.6。字节布局复用 RX 的测试，所以不是从零再设计报文。RGMII 和 PHY 尚未证实，比 RX 多 2 日，共 12 日。PHY 未就绪时停在字节测试，发布不因此改期。</t>
        </is>
      </c>
    </row>
    <row r="24">
      <c r="A24" s="10" t="inlineStr">
        <is>
          <t>E6-S4 最可能 4</t>
        </is>
      </c>
      <c r="B24" s="10" t="n">
        <v>4</v>
      </c>
      <c r="C24" s="10" t="inlineStr">
        <is>
          <t>O 3.0，P 6.0，期望 4.2。用录好的 UDP 包驱动界面，不取代 HL1 命令通道。与选择 CDC 同级，4 日。</t>
        </is>
      </c>
    </row>
    <row r="25">
      <c r="A25" s="11" t="inlineStr">
        <is>
          <t>E7-S1 最可能 12</t>
        </is>
      </c>
      <c r="B25" s="11" t="n">
        <v>12</v>
      </c>
      <c r="C25" s="11" t="inlineStr">
        <is>
          <t>O 8.4，P 21.6，期望 13.0。每个 story 已经含自己的实机验收。这里是发布前再跑一轮既有 P1，并抽查新命令，仍按 12 日。不把 18.5 人日的当前测试再加一次。</t>
        </is>
      </c>
    </row>
    <row r="26">
      <c r="A26" s="10" t="inlineStr">
        <is>
          <t>E7-S2 最可能 3</t>
        </is>
      </c>
      <c r="B26" s="10" t="n">
        <v>3</v>
      </c>
      <c r="C26" s="10" t="inlineStr">
        <is>
          <t>O 2.2，P 4.5，期望 3.1。中日文档的主体已经在仓库里。3 日是按行为变化收口、打标签、确认发布产物，不是从零写规格。</t>
        </is>
      </c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2026-10-03T04:38:23Z</dcterms:created>
  <dcterms:modified xmlns:dcterms="http://purl.org/dc/terms/" xmlns:xsi="http://www.w3.org/2001/XMLSchema-instance" xsi:type="dcterms:W3CDTF">2026-10-03T06:20:08Z</dcterms:modified>
</cp:coreProperties>
</file>